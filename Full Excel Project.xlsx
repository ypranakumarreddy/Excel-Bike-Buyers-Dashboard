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D:\data Analyst ALEX\Excel\"/>
    </mc:Choice>
  </mc:AlternateContent>
  <xr:revisionPtr revIDLastSave="0" documentId="8_{43274BE3-85A9-44B2-9836-7061099887DD}"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4" r:id="rId2"/>
    <sheet name="Pivot Tables" sheetId="3"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eital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<sst xmlns="http://schemas.openxmlformats.org/spreadsheetml/2006/main" count="16274" uniqueCount="53">
  <si>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</si>
  <si>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</si>
  <si>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</si>
  <si>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</si>
  <si>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</si>
  <si>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</si>
  <si>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</si>
  <si>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</si>
  <si>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</si>
  <si>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</si>
  <si>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</si>
  <si>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</si>
  <si>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</si>
  <si>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</si>
  <si>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</si>
  <si>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</si>
  <si>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</si>
  <si>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</si>
  <si>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</si>
  <si>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</si>
  <si>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</si>
  <si>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</si>
  <si>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</si>
  <si>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</si>
  <si>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</si>
  <si>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</si>
  <si>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</si>
  <si>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</si>
  <si>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</si>
  <si>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</si>
  <si>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</si>
  <si>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</si>
  <si>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</si>
  <si>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</si>
  <si>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</si>
  <si>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</si>
  <si>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</si>
  <si>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</si>
  <si>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Singleingle</t>
  </si>
  <si>
    <t>Female</t>
  </si>
  <si>
    <t>Male</t>
  </si>
  <si>
    <t>Age Brackets</t>
  </si>
  <si>
    <t>Marieital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</si>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</sst>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43" fontId="0" fillId="0" borderId="0" xfId="0" pivotButton="1" applyNumberFormat="1"/>
    <xf numFmtId="43" fontId="0" fillId="0" borderId="0" xfId="0" applyNumberFormat="1"/>
    <xf numFmtId="43" fontId="0" fillId="0" borderId="0" xfId="0" applyNumberFormat="1" applyAlignment="1">
      <alignment horizontal="left"/>
    </xf>
    <xf numFmtId="0" fontId="20" fillId="33" borderId="0" xfId="0" applyFont="1" applyFill="1" applyAlignment="1">
      <alignment horizontal="center" vertical="center"/>
    </xf>
    <xf numFmtId="0" fontId="19" fillId="33" borderId="0" xfId="0" applyFont="1" applyFill="1" applyAlignment="1">
      <alignment horizontal="center" vertic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0">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#,##0.00_);_(* \(#,##0.00\);_(* "-"??_);_(@_)</c:formatCode>
                <c:ptCount val="2"/>
                <c:pt idx="0">
                  <c:v>66818.181818181823</c:v>
                </c:pt>
                <c:pt idx="1">
                  <c:v>65633.802816901414</c:v>
                </c:pt>
              </c:numCache>
            </c:numRef>
          </c:val>
          <c:extLst>
            <c:ext xmlns:c16="http://schemas.microsoft.com/office/drawing/2014/chart" uri="{C3380CC4-5D6E-409C-BE32-E72D297353CC}">
              <c16:uniqueId val="{00000000-E7CB-4D0C-83A3-BD2548B25707}"/>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#,##0.00_);_(* \(#,##0.00\);_(* "-"??_);_(@_)</c:formatCode>
                <c:ptCount val="2"/>
                <c:pt idx="0">
                  <c:v>61625</c:v>
                </c:pt>
                <c:pt idx="1">
                  <c:v>59325.84269662921</c:v>
                </c:pt>
              </c:numCache>
            </c:numRef>
          </c:val>
          <c:extLst>
            <c:ext xmlns:c16="http://schemas.microsoft.com/office/drawing/2014/chart" uri="{C3380CC4-5D6E-409C-BE32-E72D297353CC}">
              <c16:uniqueId val="{00000006-E7CB-4D0C-83A3-BD2548B25707}"/>
            </c:ext>
          </c:extLst>
        </c:ser>
        <c:dLbls>
          <c:dLblPos val="outEnd"/>
          <c:showLegendKey val="0"/>
          <c:showVal val="0"/>
          <c:showCatName val="0"/>
          <c:showSerName val="0"/>
          <c:showPercent val="0"/>
          <c:showBubbleSize val="0"/>
        </c:dLbls>
        <c:gapWidth val="219"/>
        <c:overlap val="-27"/>
        <c:axId val="1193103744"/>
        <c:axId val="1164586368"/>
      </c:barChart>
      <c:catAx>
        <c:axId val="119310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86368"/>
        <c:crosses val="autoZero"/>
        <c:auto val="1"/>
        <c:lblAlgn val="ctr"/>
        <c:lblOffset val="100"/>
        <c:noMultiLvlLbl val="0"/>
      </c:catAx>
      <c:valAx>
        <c:axId val="1164586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03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Tables'!$B$29:$B$30</c:f>
              <c:strCache>
                <c:ptCount val="1"/>
                <c:pt idx="0">
                  <c:v>No</c:v>
                </c:pt>
              </c:strCache>
            </c:strRef>
          </c:tx>
          <c:spPr>
            <a:ln w="28575" cap="rnd">
              <a:solidFill>
                <a:schemeClr val="accent1"/>
              </a:solidFill>
              <a:round/>
            </a:ln>
            <a:effectLst/>
          </c:spPr>
          <c:marker>
            <c:symbol val="none"/>
          </c:marker>
          <c:cat>
            <c:strRef>
              <c:f>'Pivot Tables'!$A$31:$A$36</c:f>
              <c:strCache>
                <c:ptCount val="5"/>
                <c:pt idx="0">
                  <c:v>0-1 Miles</c:v>
                </c:pt>
                <c:pt idx="1">
                  <c:v>1-2 Miles</c:v>
                </c:pt>
                <c:pt idx="2">
                  <c:v>2-5 Miles</c:v>
                </c:pt>
                <c:pt idx="3">
                  <c:v>5-10 Miles</c:v>
                </c:pt>
                <c:pt idx="4">
                  <c:v>More Than 10 Miles</c:v>
                </c:pt>
              </c:strCache>
            </c:strRef>
          </c:cat>
          <c:val>
            <c:numRef>
              <c:f>'Pivot Tables'!$B$31:$B$36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A2F-457E-8552-44BAFB5783B6}"/>
            </c:ext>
          </c:extLst>
        </c:ser>
        <c:ser>
          <c:idx val="1"/>
          <c:order val="1"/>
          <c:tx>
            <c:strRef>
              <c:f>'Pivot Tables'!$C$29:$C$30</c:f>
              <c:strCache>
                <c:ptCount val="1"/>
                <c:pt idx="0">
                  <c:v>Yes</c:v>
                </c:pt>
              </c:strCache>
            </c:strRef>
          </c:tx>
          <c:spPr>
            <a:ln w="28575" cap="rnd">
              <a:solidFill>
                <a:schemeClr val="accent2"/>
              </a:solidFill>
              <a:round/>
            </a:ln>
            <a:effectLst/>
          </c:spPr>
          <c:marker>
            <c:symbol val="none"/>
          </c:marker>
          <c:cat>
            <c:strRef>
              <c:f>'Pivot Tables'!$A$31:$A$36</c:f>
              <c:strCache>
                <c:ptCount val="5"/>
                <c:pt idx="0">
                  <c:v>0-1 Miles</c:v>
                </c:pt>
                <c:pt idx="1">
                  <c:v>1-2 Miles</c:v>
                </c:pt>
                <c:pt idx="2">
                  <c:v>2-5 Miles</c:v>
                </c:pt>
                <c:pt idx="3">
                  <c:v>5-10 Miles</c:v>
                </c:pt>
                <c:pt idx="4">
                  <c:v>More Than 10 Miles</c:v>
                </c:pt>
              </c:strCache>
            </c:strRef>
          </c:cat>
          <c:val>
            <c:numRef>
              <c:f>'Pivot Tables'!$C$31:$C$36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0A2F-457E-8552-44BAFB5783B6}"/>
            </c:ext>
          </c:extLst>
        </c:ser>
        <c:dLbls>
          <c:showLegendKey val="0"/>
          <c:showVal val="0"/>
          <c:showCatName val="0"/>
          <c:showSerName val="0"/>
          <c:showPercent val="0"/>
          <c:showBubbleSize val="0"/>
        </c:dLbls>
        <c:smooth val="0"/>
        <c:axId val="1367113296"/>
        <c:axId val="1367098416"/>
      </c:lineChart>
      <c:catAx>
        <c:axId val="136711329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098416"/>
        <c:crosses val="autoZero"/>
        <c:auto val="1"/>
        <c:lblAlgn val="ctr"/>
        <c:lblOffset val="100"/>
        <c:noMultiLvlLbl val="0"/>
      </c:catAx>
      <c:valAx>
        <c:axId val="136709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11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Tables'!$A$55:$A$58</c:f>
              <c:strCache>
                <c:ptCount val="3"/>
                <c:pt idx="0">
                  <c:v>Adolescent</c:v>
                </c:pt>
                <c:pt idx="1">
                  <c:v>Middle Age</c:v>
                </c:pt>
                <c:pt idx="2">
                  <c:v>Old</c:v>
                </c:pt>
              </c:strCache>
            </c:strRef>
          </c:cat>
          <c:val>
            <c:numRef>
              <c:f>'Pivot Tables'!$B$55:$B$58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6B21-496B-8203-3513C04FE396}"/>
            </c:ext>
          </c:extLst>
        </c:ser>
        <c:ser>
          <c:idx val="1"/>
          <c:order val="1"/>
          <c:tx>
            <c:strRef>
              <c:f>'Pivot Tables'!$C$53:$C$54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Tables'!$A$55:$A$58</c:f>
              <c:strCache>
                <c:ptCount val="3"/>
                <c:pt idx="0">
                  <c:v>Adolescent</c:v>
                </c:pt>
                <c:pt idx="1">
                  <c:v>Middle Age</c:v>
                </c:pt>
                <c:pt idx="2">
                  <c:v>Old</c:v>
                </c:pt>
              </c:strCache>
            </c:strRef>
          </c:cat>
          <c:val>
            <c:numRef>
              <c:f>'Pivot Tables'!$C$55:$C$58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3-6B21-496B-8203-3513C04FE396}"/>
            </c:ext>
          </c:extLst>
        </c:ser>
        <c:dLbls>
          <c:showLegendKey val="0"/>
          <c:showVal val="0"/>
          <c:showCatName val="0"/>
          <c:showSerName val="0"/>
          <c:showPercent val="0"/>
          <c:showBubbleSize val="0"/>
        </c:dLbls>
        <c:marker val="1"/>
        <c:smooth val="0"/>
        <c:axId val="1450992288"/>
        <c:axId val="1450995648"/>
      </c:lineChart>
      <c:catAx>
        <c:axId val="145099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995648"/>
        <c:crosses val="autoZero"/>
        <c:auto val="1"/>
        <c:lblAlgn val="ctr"/>
        <c:lblOffset val="100"/>
        <c:noMultiLvlLbl val="0"/>
      </c:catAx>
      <c:valAx>
        <c:axId val="145099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99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#,##0.00_);_(* \(#,##0.00\);_(* "-"??_);_(@_)</c:formatCode>
                <c:ptCount val="2"/>
                <c:pt idx="0">
                  <c:v>66818.181818181823</c:v>
                </c:pt>
                <c:pt idx="1">
                  <c:v>65633.802816901414</c:v>
                </c:pt>
              </c:numCache>
            </c:numRef>
          </c:val>
          <c:extLst>
            <c:ext xmlns:c16="http://schemas.microsoft.com/office/drawing/2014/chart" uri="{C3380CC4-5D6E-409C-BE32-E72D297353CC}">
              <c16:uniqueId val="{00000000-ECA9-4622-90CE-FA4112A9EB32}"/>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#,##0.00_);_(* \(#,##0.00\);_(* "-"??_);_(@_)</c:formatCode>
                <c:ptCount val="2"/>
                <c:pt idx="0">
                  <c:v>61625</c:v>
                </c:pt>
                <c:pt idx="1">
                  <c:v>59325.84269662921</c:v>
                </c:pt>
              </c:numCache>
            </c:numRef>
          </c:val>
          <c:extLst>
            <c:ext xmlns:c16="http://schemas.microsoft.com/office/drawing/2014/chart" uri="{C3380CC4-5D6E-409C-BE32-E72D297353CC}">
              <c16:uniqueId val="{00000006-ECA9-4622-90CE-FA4112A9EB32}"/>
            </c:ext>
          </c:extLst>
        </c:ser>
        <c:dLbls>
          <c:showLegendKey val="0"/>
          <c:showVal val="0"/>
          <c:showCatName val="0"/>
          <c:showSerName val="0"/>
          <c:showPercent val="0"/>
          <c:showBubbleSize val="0"/>
        </c:dLbls>
        <c:gapWidth val="219"/>
        <c:axId val="1193103744"/>
        <c:axId val="1164586368"/>
      </c:barChart>
      <c:catAx>
        <c:axId val="119310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86368"/>
        <c:crosses val="autoZero"/>
        <c:auto val="1"/>
        <c:lblAlgn val="ctr"/>
        <c:lblOffset val="100"/>
        <c:noMultiLvlLbl val="0"/>
      </c:catAx>
      <c:valAx>
        <c:axId val="1164586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03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Tables!PivotTable2</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Tables'!$B$29:$B$30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Tables'!$A$31:$A$36</c:f>
              <c:strCache>
                <c:ptCount val="5"/>
                <c:pt idx="0">
                  <c:v>0-1 Miles</c:v>
                </c:pt>
                <c:pt idx="1">
                  <c:v>1-2 Miles</c:v>
                </c:pt>
                <c:pt idx="2">
                  <c:v>2-5 Miles</c:v>
                </c:pt>
                <c:pt idx="3">
                  <c:v>5-10 Miles</c:v>
                </c:pt>
                <c:pt idx="4">
                  <c:v>More Than 10 Miles</c:v>
                </c:pt>
              </c:strCache>
            </c:strRef>
          </c:cat>
          <c:val>
            <c:numRef>
              <c:f>'Pivot Tables'!$B$31:$B$36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836-444D-B22F-01E6476EF6E1}"/>
            </c:ext>
          </c:extLst>
        </c:ser>
        <c:ser>
          <c:idx val="1"/>
          <c:order val="1"/>
          <c:tx>
            <c:strRef>
              <c:f>'Pivot Tables'!$C$29:$C$30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Tables'!$A$31:$A$36</c:f>
              <c:strCache>
                <c:ptCount val="5"/>
                <c:pt idx="0">
                  <c:v>0-1 Miles</c:v>
                </c:pt>
                <c:pt idx="1">
                  <c:v>1-2 Miles</c:v>
                </c:pt>
                <c:pt idx="2">
                  <c:v>2-5 Miles</c:v>
                </c:pt>
                <c:pt idx="3">
                  <c:v>5-10 Miles</c:v>
                </c:pt>
                <c:pt idx="4">
                  <c:v>More Than 10 Miles</c:v>
                </c:pt>
              </c:strCache>
            </c:strRef>
          </c:cat>
          <c:val>
            <c:numRef>
              <c:f>'Pivot Tables'!$C$31:$C$36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3836-444D-B22F-01E6476EF6E1}"/>
            </c:ext>
          </c:extLst>
        </c:ser>
        <c:dLbls>
          <c:showLegendKey val="0"/>
          <c:showVal val="0"/>
          <c:showCatName val="0"/>
          <c:showSerName val="0"/>
          <c:showPercent val="0"/>
          <c:showBubbleSize val="0"/>
        </c:dLbls>
        <c:marker val="1"/>
        <c:smooth val="0"/>
        <c:axId val="1367113296"/>
        <c:axId val="1367098416"/>
      </c:lineChart>
      <c:catAx>
        <c:axId val="136711329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7098416"/>
        <c:crosses val="autoZero"/>
        <c:auto val="1"/>
        <c:lblAlgn val="ctr"/>
        <c:lblOffset val="100"/>
        <c:noMultiLvlLbl val="0"/>
      </c:catAx>
      <c:valAx>
        <c:axId val="13670984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711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Tables'!$A$55:$A$58</c:f>
              <c:strCache>
                <c:ptCount val="3"/>
                <c:pt idx="0">
                  <c:v>Adolescent</c:v>
                </c:pt>
                <c:pt idx="1">
                  <c:v>Middle Age</c:v>
                </c:pt>
                <c:pt idx="2">
                  <c:v>Old</c:v>
                </c:pt>
              </c:strCache>
            </c:strRef>
          </c:cat>
          <c:val>
            <c:numRef>
              <c:f>'Pivot Tables'!$B$55:$B$58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7336-4786-A4FD-F6139D09F1D5}"/>
            </c:ext>
          </c:extLst>
        </c:ser>
        <c:ser>
          <c:idx val="1"/>
          <c:order val="1"/>
          <c:tx>
            <c:strRef>
              <c:f>'Pivot Tables'!$C$53:$C$54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Tables'!$A$55:$A$58</c:f>
              <c:strCache>
                <c:ptCount val="3"/>
                <c:pt idx="0">
                  <c:v>Adolescent</c:v>
                </c:pt>
                <c:pt idx="1">
                  <c:v>Middle Age</c:v>
                </c:pt>
                <c:pt idx="2">
                  <c:v>Old</c:v>
                </c:pt>
              </c:strCache>
            </c:strRef>
          </c:cat>
          <c:val>
            <c:numRef>
              <c:f>'Pivot Tables'!$C$55:$C$58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3-7336-4786-A4FD-F6139D09F1D5}"/>
            </c:ext>
          </c:extLst>
        </c:ser>
        <c:dLbls>
          <c:showLegendKey val="0"/>
          <c:showVal val="0"/>
          <c:showCatName val="0"/>
          <c:showSerName val="0"/>
          <c:showPercent val="0"/>
          <c:showBubbleSize val="0"/>
        </c:dLbls>
        <c:marker val="1"/>
        <c:smooth val="0"/>
        <c:axId val="1450992288"/>
        <c:axId val="1450995648"/>
      </c:lineChart>
      <c:catAx>
        <c:axId val="145099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995648"/>
        <c:crosses val="autoZero"/>
        <c:auto val="1"/>
        <c:lblAlgn val="ctr"/>
        <c:lblOffset val="100"/>
        <c:noMultiLvlLbl val="0"/>
      </c:catAx>
      <c:valAx>
        <c:axId val="145099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99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28574</xdr:colOff>
      <xdr:row>1</xdr:row>
      <xdr:rowOff>61911</xdr:rowOff>
    </xdr:from>
    <xdr:to>
      <xdr:col>15</xdr:col>
      <xdr:colOff>533400</xdr:colOff>
      <xdr:row>20</xdr:row>
      <xdr:rowOff>152400</xdr:rowOff>
    </xdr:to>
    <xdr:graphicFrame macro="">
      <xdr:nvGraphicFramePr>
        <xdr:cNvPr id="2" name="Chart 1">
          <a:extLst>
            <a:ext uri="{FF2B5EF4-FFF2-40B4-BE49-F238E27FC236}">
              <a16:creationId xmlns:a16="http://schemas.microsoft.com/office/drawing/2014/main" id="{FFD18CF2-56AB-461A-1FBF-D6DEED798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138111</xdr:rowOff>
    </xdr:from>
    <xdr:to>
      <xdr:col>16</xdr:col>
      <xdr:colOff>190500</xdr:colOff>
      <xdr:row>43</xdr:row>
      <xdr:rowOff>180974</xdr:rowOff>
    </xdr:to>
    <xdr:graphicFrame macro="">
      <xdr:nvGraphicFramePr>
        <xdr:cNvPr id="3" name="Chart 2">
          <a:extLst>
            <a:ext uri="{FF2B5EF4-FFF2-40B4-BE49-F238E27FC236}">
              <a16:creationId xmlns:a16="http://schemas.microsoft.com/office/drawing/2014/main" id="{EC53008C-02B2-24E6-DFFF-237EF5725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85724</xdr:colOff>
      <xdr:row>52</xdr:row>
      <xdr:rowOff>80961</xdr:rowOff>
    </xdr:from>
    <xdr:to>
      <xdr:col>15</xdr:col>
      <xdr:colOff>438149</xdr:colOff>
      <xdr:row>68</xdr:row>
      <xdr:rowOff>152400</xdr:rowOff>
    </xdr:to>
    <xdr:graphicFrame macro="">
      <xdr:nvGraphicFramePr>
        <xdr:cNvPr id="4" name="Chart 3">
          <a:extLst>
            <a:ext uri="{FF2B5EF4-FFF2-40B4-BE49-F238E27FC236}">
              <a16:creationId xmlns:a16="http://schemas.microsoft.com/office/drawing/2014/main" id="{4CDF4737-053C-170F-8C98-F9646F1ED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86389</xdr:colOff>
      <xdr:row>8</xdr:row>
      <xdr:rowOff>74650</xdr:rowOff>
    </xdr:from>
    <xdr:to>
      <xdr:col>12</xdr:col>
      <xdr:colOff>520551</xdr:colOff>
      <xdr:row>27</xdr:row>
      <xdr:rowOff>66452</xdr:rowOff>
    </xdr:to>
    <xdr:graphicFrame macro="">
      <xdr:nvGraphicFramePr>
        <xdr:cNvPr id="2" name="Chart 1">
          <a:extLst>
            <a:ext uri="{FF2B5EF4-FFF2-40B4-BE49-F238E27FC236}">
              <a16:creationId xmlns:a16="http://schemas.microsoft.com/office/drawing/2014/main" id="{D1399236-854C-4BCB-B16F-5633B17E6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56042</xdr:colOff>
      <xdr:row>27</xdr:row>
      <xdr:rowOff>145755</xdr:rowOff>
    </xdr:from>
    <xdr:to>
      <xdr:col>22</xdr:col>
      <xdr:colOff>321192</xdr:colOff>
      <xdr:row>50</xdr:row>
      <xdr:rowOff>55379</xdr:rowOff>
    </xdr:to>
    <xdr:graphicFrame macro="">
      <xdr:nvGraphicFramePr>
        <xdr:cNvPr id="3" name="Chart 2">
          <a:extLst>
            <a:ext uri="{FF2B5EF4-FFF2-40B4-BE49-F238E27FC236}">
              <a16:creationId xmlns:a16="http://schemas.microsoft.com/office/drawing/2014/main" id="{D0CE3B52-3076-4ED5-9FE1-63864DD43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44301</xdr:colOff>
      <xdr:row>8</xdr:row>
      <xdr:rowOff>74650</xdr:rowOff>
    </xdr:from>
    <xdr:to>
      <xdr:col>22</xdr:col>
      <xdr:colOff>387645</xdr:colOff>
      <xdr:row>27</xdr:row>
      <xdr:rowOff>63573</xdr:rowOff>
    </xdr:to>
    <xdr:graphicFrame macro="">
      <xdr:nvGraphicFramePr>
        <xdr:cNvPr id="4" name="Chart 3">
          <a:extLst>
            <a:ext uri="{FF2B5EF4-FFF2-40B4-BE49-F238E27FC236}">
              <a16:creationId xmlns:a16="http://schemas.microsoft.com/office/drawing/2014/main" id="{90621DC6-9C0D-4553-AB15-BB7BB79CA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110977</xdr:rowOff>
    </xdr:from>
    <xdr:to>
      <xdr:col>3</xdr:col>
      <xdr:colOff>1329</xdr:colOff>
      <xdr:row>15</xdr:row>
      <xdr:rowOff>55378</xdr:rowOff>
    </xdr:to>
    <mc:AlternateContent xmlns:mc="http://schemas.openxmlformats.org/markup-compatibility/2006">
      <mc:Choice xmlns:a14="http://schemas.microsoft.com/office/drawing/2010/main" Requires="a14">
        <xdr:graphicFrame macro="">
          <xdr:nvGraphicFramePr>
            <xdr:cNvPr id="5" name="Marieital Status">
              <a:extLst>
                <a:ext uri="{FF2B5EF4-FFF2-40B4-BE49-F238E27FC236}">
                  <a16:creationId xmlns:a16="http://schemas.microsoft.com/office/drawing/2014/main" id="{0B14B068-5B4A-9A3F-ED5C-0C052EF66326}"/>
                </a:ext>
              </a:extLst>
            </xdr:cNvPr>
            <xdr:cNvGraphicFramePr/>
          </xdr:nvGraphicFramePr>
          <xdr:xfrm>
            <a:off x="0" y="0"/>
            <a:ext cx="0" cy="0"/>
          </xdr:xfrm>
          <a:graphic>
            <a:graphicData uri="http://schemas.microsoft.com/office/drawing/2010/slicer">
              <sle:slicer xmlns:sle="http://schemas.microsoft.com/office/drawing/2010/slicer" name="Marieital Status"/>
            </a:graphicData>
          </a:graphic>
        </xdr:graphicFrame>
      </mc:Choice>
      <mc:Fallback>
        <xdr:sp macro="" textlink="">
          <xdr:nvSpPr>
            <xdr:cNvPr id="0" name=""/>
            <xdr:cNvSpPr>
              <a:spLocks noTextEdit="1"/>
            </xdr:cNvSpPr>
          </xdr:nvSpPr>
          <xdr:spPr>
            <a:xfrm>
              <a:off x="0" y="1860919"/>
              <a:ext cx="1828800" cy="1262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10411</xdr:colOff>
      <xdr:row>22</xdr:row>
      <xdr:rowOff>17944</xdr:rowOff>
    </xdr:from>
    <xdr:to>
      <xdr:col>3</xdr:col>
      <xdr:colOff>11740</xdr:colOff>
      <xdr:row>31</xdr:row>
      <xdr:rowOff>22152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D021BDA-C245-9CB9-B345-FC167E8186A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411" y="4403874"/>
              <a:ext cx="1828800" cy="1698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139775</xdr:rowOff>
    </xdr:from>
    <xdr:to>
      <xdr:col>3</xdr:col>
      <xdr:colOff>1329</xdr:colOff>
      <xdr:row>21</xdr:row>
      <xdr:rowOff>143984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A517524-00DE-8B56-6F46-0664B7B5D5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207711"/>
              <a:ext cx="1828800" cy="1133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y Kumar Reddy Y" refreshedDate="45511.766385185183" createdVersion="8" refreshedVersion="8" minRefreshableVersion="3" recordCount="1000" xr:uid="{50609129-A711-4673-B633-3EB382163736}">
  <cacheSource type="worksheet">
    <worksheetSource ref="A1:N1001" sheet="Working Sheet"/>
  </cacheSource>
  <cacheFields count="14">
    <cacheField name="ID" numFmtId="0">
      <sharedItems containsSemiMixedTypes="0" containsString="0" containsNumber="1" containsInteger="1" minValue="11000" maxValue="29447"/>
    </cacheField>
    <cacheField name="Marieital Status" numFmtId="0">
      <sharedItems count="3">
        <s v="Married"/>
        <s v="Singleingle"/>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31358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2"/>
    <x v="1"/>
    <n v="30000"/>
    <n v="0"/>
    <x v="0"/>
    <s v="Clerical"/>
    <s v="No"/>
    <n v="0"/>
    <x v="0"/>
    <x v="0"/>
    <x v="4"/>
    <x v="0"/>
    <x v="1"/>
  </r>
  <r>
    <n v="13507"/>
    <x v="0"/>
    <x v="0"/>
    <n v="10000"/>
    <n v="2"/>
    <x v="1"/>
    <s v="Manual"/>
    <s v="Yes"/>
    <n v="0"/>
    <x v="3"/>
    <x v="0"/>
    <x v="5"/>
    <x v="0"/>
    <x v="0"/>
  </r>
  <r>
    <n v="27974"/>
    <x v="2"/>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2"/>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2"/>
    <x v="1"/>
    <n v="60000"/>
    <n v="1"/>
    <x v="1"/>
    <s v="Skilled Manual"/>
    <s v="No"/>
    <n v="1"/>
    <x v="0"/>
    <x v="1"/>
    <x v="12"/>
    <x v="0"/>
    <x v="1"/>
  </r>
  <r>
    <n v="20870"/>
    <x v="2"/>
    <x v="0"/>
    <n v="10000"/>
    <n v="2"/>
    <x v="2"/>
    <s v="Manual"/>
    <s v="Yes"/>
    <n v="1"/>
    <x v="0"/>
    <x v="0"/>
    <x v="13"/>
    <x v="0"/>
    <x v="1"/>
  </r>
  <r>
    <n v="23316"/>
    <x v="2"/>
    <x v="1"/>
    <n v="30000"/>
    <n v="3"/>
    <x v="1"/>
    <s v="Clerical"/>
    <s v="No"/>
    <n v="2"/>
    <x v="3"/>
    <x v="1"/>
    <x v="14"/>
    <x v="1"/>
    <x v="1"/>
  </r>
  <r>
    <n v="12610"/>
    <x v="0"/>
    <x v="0"/>
    <n v="30000"/>
    <n v="1"/>
    <x v="0"/>
    <s v="Clerical"/>
    <s v="Yes"/>
    <n v="0"/>
    <x v="0"/>
    <x v="0"/>
    <x v="15"/>
    <x v="0"/>
    <x v="0"/>
  </r>
  <r>
    <n v="27183"/>
    <x v="2"/>
    <x v="1"/>
    <n v="40000"/>
    <n v="2"/>
    <x v="1"/>
    <s v="Clerical"/>
    <s v="Yes"/>
    <n v="1"/>
    <x v="3"/>
    <x v="0"/>
    <x v="11"/>
    <x v="0"/>
    <x v="1"/>
  </r>
  <r>
    <n v="25940"/>
    <x v="2"/>
    <x v="1"/>
    <n v="20000"/>
    <n v="2"/>
    <x v="3"/>
    <s v="Clerical"/>
    <s v="Yes"/>
    <n v="2"/>
    <x v="2"/>
    <x v="1"/>
    <x v="10"/>
    <x v="0"/>
    <x v="1"/>
  </r>
  <r>
    <n v="25598"/>
    <x v="0"/>
    <x v="0"/>
    <n v="40000"/>
    <n v="0"/>
    <x v="4"/>
    <s v="Clerical"/>
    <s v="Yes"/>
    <n v="0"/>
    <x v="0"/>
    <x v="0"/>
    <x v="4"/>
    <x v="0"/>
    <x v="1"/>
  </r>
  <r>
    <n v="21564"/>
    <x v="2"/>
    <x v="0"/>
    <n v="80000"/>
    <n v="0"/>
    <x v="0"/>
    <s v="Professional"/>
    <s v="Yes"/>
    <n v="4"/>
    <x v="4"/>
    <x v="1"/>
    <x v="11"/>
    <x v="0"/>
    <x v="0"/>
  </r>
  <r>
    <n v="19193"/>
    <x v="2"/>
    <x v="1"/>
    <n v="40000"/>
    <n v="2"/>
    <x v="1"/>
    <s v="Clerical"/>
    <s v="Yes"/>
    <n v="0"/>
    <x v="3"/>
    <x v="0"/>
    <x v="11"/>
    <x v="0"/>
    <x v="1"/>
  </r>
  <r>
    <n v="26412"/>
    <x v="0"/>
    <x v="0"/>
    <n v="80000"/>
    <n v="5"/>
    <x v="2"/>
    <s v="Management"/>
    <s v="No"/>
    <n v="3"/>
    <x v="2"/>
    <x v="0"/>
    <x v="16"/>
    <x v="1"/>
    <x v="0"/>
  </r>
  <r>
    <n v="27184"/>
    <x v="2"/>
    <x v="1"/>
    <n v="40000"/>
    <n v="2"/>
    <x v="1"/>
    <s v="Clerical"/>
    <s v="No"/>
    <n v="1"/>
    <x v="0"/>
    <x v="0"/>
    <x v="17"/>
    <x v="0"/>
    <x v="0"/>
  </r>
  <r>
    <n v="12590"/>
    <x v="2"/>
    <x v="1"/>
    <n v="30000"/>
    <n v="1"/>
    <x v="0"/>
    <s v="Clerical"/>
    <s v="Yes"/>
    <n v="0"/>
    <x v="0"/>
    <x v="0"/>
    <x v="18"/>
    <x v="1"/>
    <x v="0"/>
  </r>
  <r>
    <n v="17841"/>
    <x v="2"/>
    <x v="1"/>
    <n v="30000"/>
    <n v="0"/>
    <x v="1"/>
    <s v="Clerical"/>
    <s v="No"/>
    <n v="1"/>
    <x v="0"/>
    <x v="0"/>
    <x v="19"/>
    <x v="2"/>
    <x v="1"/>
  </r>
  <r>
    <n v="18283"/>
    <x v="2"/>
    <x v="0"/>
    <n v="100000"/>
    <n v="0"/>
    <x v="0"/>
    <s v="Professional"/>
    <s v="No"/>
    <n v="1"/>
    <x v="2"/>
    <x v="1"/>
    <x v="8"/>
    <x v="0"/>
    <x v="0"/>
  </r>
  <r>
    <n v="18299"/>
    <x v="0"/>
    <x v="1"/>
    <n v="70000"/>
    <n v="5"/>
    <x v="1"/>
    <s v="Skilled Manual"/>
    <s v="Yes"/>
    <n v="2"/>
    <x v="2"/>
    <x v="1"/>
    <x v="20"/>
    <x v="0"/>
    <x v="0"/>
  </r>
  <r>
    <n v="16466"/>
    <x v="2"/>
    <x v="0"/>
    <n v="20000"/>
    <n v="0"/>
    <x v="3"/>
    <s v="Manual"/>
    <s v="No"/>
    <n v="2"/>
    <x v="0"/>
    <x v="0"/>
    <x v="21"/>
    <x v="0"/>
    <x v="1"/>
  </r>
  <r>
    <n v="19273"/>
    <x v="0"/>
    <x v="0"/>
    <n v="20000"/>
    <n v="2"/>
    <x v="1"/>
    <s v="Manual"/>
    <s v="Yes"/>
    <n v="0"/>
    <x v="0"/>
    <x v="0"/>
    <x v="18"/>
    <x v="1"/>
    <x v="0"/>
  </r>
  <r>
    <n v="22400"/>
    <x v="0"/>
    <x v="1"/>
    <n v="10000"/>
    <n v="0"/>
    <x v="1"/>
    <s v="Manual"/>
    <s v="No"/>
    <n v="1"/>
    <x v="0"/>
    <x v="1"/>
    <x v="22"/>
    <x v="2"/>
    <x v="1"/>
  </r>
  <r>
    <n v="20942"/>
    <x v="2"/>
    <x v="0"/>
    <n v="20000"/>
    <n v="0"/>
    <x v="2"/>
    <s v="Manual"/>
    <s v="No"/>
    <n v="1"/>
    <x v="2"/>
    <x v="0"/>
    <x v="23"/>
    <x v="0"/>
    <x v="0"/>
  </r>
  <r>
    <n v="18484"/>
    <x v="2"/>
    <x v="1"/>
    <n v="80000"/>
    <n v="2"/>
    <x v="2"/>
    <s v="Skilled Manual"/>
    <s v="No"/>
    <n v="2"/>
    <x v="3"/>
    <x v="1"/>
    <x v="5"/>
    <x v="0"/>
    <x v="1"/>
  </r>
  <r>
    <n v="12291"/>
    <x v="2"/>
    <x v="1"/>
    <n v="90000"/>
    <n v="5"/>
    <x v="1"/>
    <s v="Professional"/>
    <s v="No"/>
    <n v="2"/>
    <x v="1"/>
    <x v="0"/>
    <x v="24"/>
    <x v="1"/>
    <x v="1"/>
  </r>
  <r>
    <n v="28380"/>
    <x v="2"/>
    <x v="0"/>
    <n v="10000"/>
    <n v="5"/>
    <x v="3"/>
    <s v="Manual"/>
    <s v="No"/>
    <n v="2"/>
    <x v="0"/>
    <x v="0"/>
    <x v="3"/>
    <x v="0"/>
    <x v="0"/>
  </r>
  <r>
    <n v="17891"/>
    <x v="0"/>
    <x v="0"/>
    <n v="10000"/>
    <n v="2"/>
    <x v="1"/>
    <s v="Manual"/>
    <s v="Yes"/>
    <n v="1"/>
    <x v="0"/>
    <x v="0"/>
    <x v="5"/>
    <x v="0"/>
    <x v="1"/>
  </r>
  <r>
    <n v="27832"/>
    <x v="2"/>
    <x v="0"/>
    <n v="30000"/>
    <n v="0"/>
    <x v="1"/>
    <s v="Clerical"/>
    <s v="No"/>
    <n v="1"/>
    <x v="1"/>
    <x v="0"/>
    <x v="25"/>
    <x v="2"/>
    <x v="0"/>
  </r>
  <r>
    <n v="26863"/>
    <x v="2"/>
    <x v="1"/>
    <n v="20000"/>
    <n v="0"/>
    <x v="2"/>
    <s v="Manual"/>
    <s v="No"/>
    <n v="1"/>
    <x v="1"/>
    <x v="0"/>
    <x v="26"/>
    <x v="2"/>
    <x v="0"/>
  </r>
  <r>
    <n v="16259"/>
    <x v="2"/>
    <x v="0"/>
    <n v="10000"/>
    <n v="4"/>
    <x v="3"/>
    <s v="Manual"/>
    <s v="Yes"/>
    <n v="2"/>
    <x v="0"/>
    <x v="0"/>
    <x v="8"/>
    <x v="0"/>
    <x v="1"/>
  </r>
  <r>
    <n v="27803"/>
    <x v="2"/>
    <x v="0"/>
    <n v="30000"/>
    <n v="2"/>
    <x v="1"/>
    <s v="Clerical"/>
    <s v="No"/>
    <n v="0"/>
    <x v="0"/>
    <x v="0"/>
    <x v="1"/>
    <x v="0"/>
    <x v="0"/>
  </r>
  <r>
    <n v="14347"/>
    <x v="2"/>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2"/>
    <x v="0"/>
    <n v="40000"/>
    <n v="2"/>
    <x v="1"/>
    <s v="Skilled Manual"/>
    <s v="Yes"/>
    <n v="2"/>
    <x v="2"/>
    <x v="1"/>
    <x v="31"/>
    <x v="0"/>
    <x v="1"/>
  </r>
  <r>
    <n v="19487"/>
    <x v="0"/>
    <x v="1"/>
    <n v="30000"/>
    <n v="2"/>
    <x v="1"/>
    <s v="Clerical"/>
    <s v="No"/>
    <n v="2"/>
    <x v="0"/>
    <x v="0"/>
    <x v="0"/>
    <x v="0"/>
    <x v="0"/>
  </r>
  <r>
    <n v="14939"/>
    <x v="2"/>
    <x v="1"/>
    <n v="40000"/>
    <n v="0"/>
    <x v="0"/>
    <s v="Clerical"/>
    <s v="Yes"/>
    <n v="0"/>
    <x v="0"/>
    <x v="0"/>
    <x v="32"/>
    <x v="0"/>
    <x v="1"/>
  </r>
  <r>
    <n v="13826"/>
    <x v="2"/>
    <x v="0"/>
    <n v="30000"/>
    <n v="0"/>
    <x v="1"/>
    <s v="Clerical"/>
    <s v="No"/>
    <n v="1"/>
    <x v="0"/>
    <x v="0"/>
    <x v="26"/>
    <x v="2"/>
    <x v="0"/>
  </r>
  <r>
    <n v="20619"/>
    <x v="2"/>
    <x v="1"/>
    <n v="80000"/>
    <n v="0"/>
    <x v="0"/>
    <s v="Professional"/>
    <s v="No"/>
    <n v="4"/>
    <x v="4"/>
    <x v="1"/>
    <x v="11"/>
    <x v="0"/>
    <x v="0"/>
  </r>
  <r>
    <n v="12558"/>
    <x v="0"/>
    <x v="0"/>
    <n v="20000"/>
    <n v="1"/>
    <x v="0"/>
    <s v="Clerical"/>
    <s v="Yes"/>
    <n v="0"/>
    <x v="0"/>
    <x v="0"/>
    <x v="27"/>
    <x v="1"/>
    <x v="0"/>
  </r>
  <r>
    <n v="24871"/>
    <x v="2"/>
    <x v="0"/>
    <n v="90000"/>
    <n v="4"/>
    <x v="2"/>
    <s v="Management"/>
    <s v="No"/>
    <n v="3"/>
    <x v="2"/>
    <x v="0"/>
    <x v="16"/>
    <x v="1"/>
    <x v="0"/>
  </r>
  <r>
    <n v="17319"/>
    <x v="2"/>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2"/>
    <x v="0"/>
    <n v="10000"/>
    <n v="1"/>
    <x v="2"/>
    <s v="Manual"/>
    <s v="No"/>
    <n v="1"/>
    <x v="3"/>
    <x v="0"/>
    <x v="12"/>
    <x v="0"/>
    <x v="0"/>
  </r>
  <r>
    <n v="19291"/>
    <x v="2"/>
    <x v="0"/>
    <n v="10000"/>
    <n v="2"/>
    <x v="2"/>
    <s v="Manual"/>
    <s v="Yes"/>
    <n v="0"/>
    <x v="0"/>
    <x v="0"/>
    <x v="11"/>
    <x v="0"/>
    <x v="0"/>
  </r>
  <r>
    <n v="16713"/>
    <x v="0"/>
    <x v="1"/>
    <n v="40000"/>
    <n v="2"/>
    <x v="0"/>
    <s v="Management"/>
    <s v="Yes"/>
    <n v="1"/>
    <x v="0"/>
    <x v="1"/>
    <x v="31"/>
    <x v="0"/>
    <x v="1"/>
  </r>
  <r>
    <n v="16185"/>
    <x v="2"/>
    <x v="1"/>
    <n v="60000"/>
    <n v="4"/>
    <x v="0"/>
    <s v="Professional"/>
    <s v="Yes"/>
    <n v="3"/>
    <x v="4"/>
    <x v="1"/>
    <x v="3"/>
    <x v="0"/>
    <x v="0"/>
  </r>
  <r>
    <n v="14927"/>
    <x v="0"/>
    <x v="0"/>
    <n v="30000"/>
    <n v="1"/>
    <x v="0"/>
    <s v="Clerical"/>
    <s v="Yes"/>
    <n v="0"/>
    <x v="0"/>
    <x v="0"/>
    <x v="34"/>
    <x v="0"/>
    <x v="1"/>
  </r>
  <r>
    <n v="29337"/>
    <x v="2"/>
    <x v="1"/>
    <n v="30000"/>
    <n v="2"/>
    <x v="1"/>
    <s v="Clerical"/>
    <s v="Yes"/>
    <n v="2"/>
    <x v="2"/>
    <x v="1"/>
    <x v="35"/>
    <x v="1"/>
    <x v="0"/>
  </r>
  <r>
    <n v="29355"/>
    <x v="0"/>
    <x v="0"/>
    <n v="40000"/>
    <n v="0"/>
    <x v="4"/>
    <s v="Clerical"/>
    <s v="Yes"/>
    <n v="0"/>
    <x v="0"/>
    <x v="0"/>
    <x v="34"/>
    <x v="0"/>
    <x v="1"/>
  </r>
  <r>
    <n v="25303"/>
    <x v="2"/>
    <x v="1"/>
    <n v="30000"/>
    <n v="0"/>
    <x v="2"/>
    <s v="Manual"/>
    <s v="Yes"/>
    <n v="1"/>
    <x v="1"/>
    <x v="0"/>
    <x v="6"/>
    <x v="0"/>
    <x v="1"/>
  </r>
  <r>
    <n v="14813"/>
    <x v="2"/>
    <x v="0"/>
    <n v="20000"/>
    <n v="4"/>
    <x v="2"/>
    <s v="Manual"/>
    <s v="Yes"/>
    <n v="1"/>
    <x v="0"/>
    <x v="0"/>
    <x v="1"/>
    <x v="0"/>
    <x v="1"/>
  </r>
  <r>
    <n v="16438"/>
    <x v="0"/>
    <x v="0"/>
    <n v="10000"/>
    <n v="0"/>
    <x v="3"/>
    <s v="Manual"/>
    <s v="No"/>
    <n v="2"/>
    <x v="0"/>
    <x v="0"/>
    <x v="25"/>
    <x v="2"/>
    <x v="0"/>
  </r>
  <r>
    <n v="14238"/>
    <x v="0"/>
    <x v="1"/>
    <n v="120000"/>
    <n v="0"/>
    <x v="3"/>
    <s v="Professional"/>
    <s v="Yes"/>
    <n v="4"/>
    <x v="4"/>
    <x v="1"/>
    <x v="4"/>
    <x v="0"/>
    <x v="1"/>
  </r>
  <r>
    <n v="16200"/>
    <x v="2"/>
    <x v="0"/>
    <n v="10000"/>
    <n v="0"/>
    <x v="3"/>
    <s v="Manual"/>
    <s v="No"/>
    <n v="2"/>
    <x v="0"/>
    <x v="0"/>
    <x v="11"/>
    <x v="0"/>
    <x v="0"/>
  </r>
  <r>
    <n v="24857"/>
    <x v="0"/>
    <x v="0"/>
    <n v="130000"/>
    <n v="3"/>
    <x v="2"/>
    <s v="Professional"/>
    <s v="Yes"/>
    <n v="4"/>
    <x v="0"/>
    <x v="0"/>
    <x v="31"/>
    <x v="0"/>
    <x v="0"/>
  </r>
  <r>
    <n v="26956"/>
    <x v="2"/>
    <x v="0"/>
    <n v="20000"/>
    <n v="0"/>
    <x v="1"/>
    <s v="Manual"/>
    <s v="No"/>
    <n v="1"/>
    <x v="1"/>
    <x v="0"/>
    <x v="4"/>
    <x v="0"/>
    <x v="1"/>
  </r>
  <r>
    <n v="14517"/>
    <x v="0"/>
    <x v="0"/>
    <n v="20000"/>
    <n v="3"/>
    <x v="2"/>
    <s v="Skilled Manual"/>
    <s v="No"/>
    <n v="2"/>
    <x v="3"/>
    <x v="1"/>
    <x v="24"/>
    <x v="1"/>
    <x v="0"/>
  </r>
  <r>
    <n v="12678"/>
    <x v="2"/>
    <x v="0"/>
    <n v="130000"/>
    <n v="4"/>
    <x v="2"/>
    <s v="Management"/>
    <s v="Yes"/>
    <n v="4"/>
    <x v="0"/>
    <x v="1"/>
    <x v="23"/>
    <x v="0"/>
    <x v="0"/>
  </r>
  <r>
    <n v="16188"/>
    <x v="2"/>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2"/>
    <x v="1"/>
    <n v="40000"/>
    <n v="2"/>
    <x v="0"/>
    <s v="Management"/>
    <s v="Yes"/>
    <n v="2"/>
    <x v="2"/>
    <x v="1"/>
    <x v="18"/>
    <x v="1"/>
    <x v="1"/>
  </r>
  <r>
    <n v="20828"/>
    <x v="0"/>
    <x v="0"/>
    <n v="30000"/>
    <n v="4"/>
    <x v="4"/>
    <s v="Clerical"/>
    <s v="Yes"/>
    <n v="0"/>
    <x v="0"/>
    <x v="0"/>
    <x v="12"/>
    <x v="0"/>
    <x v="1"/>
  </r>
  <r>
    <n v="19461"/>
    <x v="2"/>
    <x v="0"/>
    <n v="10000"/>
    <n v="4"/>
    <x v="3"/>
    <s v="Manual"/>
    <s v="Yes"/>
    <n v="2"/>
    <x v="0"/>
    <x v="0"/>
    <x v="8"/>
    <x v="0"/>
    <x v="0"/>
  </r>
  <r>
    <n v="26941"/>
    <x v="0"/>
    <x v="1"/>
    <n v="30000"/>
    <n v="0"/>
    <x v="0"/>
    <s v="Clerical"/>
    <s v="Yes"/>
    <n v="0"/>
    <x v="0"/>
    <x v="0"/>
    <x v="15"/>
    <x v="0"/>
    <x v="1"/>
  </r>
  <r>
    <n v="28412"/>
    <x v="2"/>
    <x v="1"/>
    <n v="20000"/>
    <n v="0"/>
    <x v="2"/>
    <s v="Manual"/>
    <s v="No"/>
    <n v="1"/>
    <x v="1"/>
    <x v="0"/>
    <x v="19"/>
    <x v="2"/>
    <x v="0"/>
  </r>
  <r>
    <n v="24485"/>
    <x v="2"/>
    <x v="1"/>
    <n v="40000"/>
    <n v="2"/>
    <x v="0"/>
    <s v="Management"/>
    <s v="No"/>
    <n v="1"/>
    <x v="2"/>
    <x v="1"/>
    <x v="31"/>
    <x v="0"/>
    <x v="1"/>
  </r>
  <r>
    <n v="16514"/>
    <x v="2"/>
    <x v="1"/>
    <n v="10000"/>
    <n v="0"/>
    <x v="1"/>
    <s v="Manual"/>
    <s v="Yes"/>
    <n v="1"/>
    <x v="3"/>
    <x v="1"/>
    <x v="22"/>
    <x v="2"/>
    <x v="1"/>
  </r>
  <r>
    <n v="17191"/>
    <x v="2"/>
    <x v="1"/>
    <n v="130000"/>
    <n v="3"/>
    <x v="1"/>
    <s v="Professional"/>
    <s v="No"/>
    <n v="3"/>
    <x v="0"/>
    <x v="0"/>
    <x v="36"/>
    <x v="0"/>
    <x v="1"/>
  </r>
  <r>
    <n v="19608"/>
    <x v="0"/>
    <x v="1"/>
    <n v="80000"/>
    <n v="5"/>
    <x v="0"/>
    <s v="Professional"/>
    <s v="Yes"/>
    <n v="4"/>
    <x v="3"/>
    <x v="1"/>
    <x v="8"/>
    <x v="0"/>
    <x v="0"/>
  </r>
  <r>
    <n v="24119"/>
    <x v="2"/>
    <x v="1"/>
    <n v="30000"/>
    <n v="0"/>
    <x v="1"/>
    <s v="Clerical"/>
    <s v="No"/>
    <n v="1"/>
    <x v="1"/>
    <x v="0"/>
    <x v="19"/>
    <x v="2"/>
    <x v="0"/>
  </r>
  <r>
    <n v="25458"/>
    <x v="0"/>
    <x v="1"/>
    <n v="20000"/>
    <n v="1"/>
    <x v="2"/>
    <s v="Manual"/>
    <s v="No"/>
    <n v="1"/>
    <x v="3"/>
    <x v="0"/>
    <x v="8"/>
    <x v="0"/>
    <x v="1"/>
  </r>
  <r>
    <n v="26886"/>
    <x v="2"/>
    <x v="0"/>
    <n v="30000"/>
    <n v="0"/>
    <x v="1"/>
    <s v="Clerical"/>
    <s v="No"/>
    <n v="1"/>
    <x v="0"/>
    <x v="0"/>
    <x v="19"/>
    <x v="2"/>
    <x v="1"/>
  </r>
  <r>
    <n v="28436"/>
    <x v="2"/>
    <x v="1"/>
    <n v="30000"/>
    <n v="0"/>
    <x v="1"/>
    <s v="Clerical"/>
    <s v="No"/>
    <n v="1"/>
    <x v="0"/>
    <x v="0"/>
    <x v="25"/>
    <x v="2"/>
    <x v="1"/>
  </r>
  <r>
    <n v="19562"/>
    <x v="2"/>
    <x v="0"/>
    <n v="60000"/>
    <n v="2"/>
    <x v="0"/>
    <s v="Professional"/>
    <s v="Yes"/>
    <n v="1"/>
    <x v="1"/>
    <x v="1"/>
    <x v="34"/>
    <x v="0"/>
    <x v="1"/>
  </r>
  <r>
    <n v="15608"/>
    <x v="2"/>
    <x v="0"/>
    <n v="30000"/>
    <n v="0"/>
    <x v="1"/>
    <s v="Clerical"/>
    <s v="No"/>
    <n v="1"/>
    <x v="1"/>
    <x v="0"/>
    <x v="6"/>
    <x v="0"/>
    <x v="0"/>
  </r>
  <r>
    <n v="16487"/>
    <x v="2"/>
    <x v="0"/>
    <n v="30000"/>
    <n v="3"/>
    <x v="2"/>
    <s v="Skilled Manual"/>
    <s v="Yes"/>
    <n v="2"/>
    <x v="2"/>
    <x v="1"/>
    <x v="10"/>
    <x v="0"/>
    <x v="0"/>
  </r>
  <r>
    <n v="17197"/>
    <x v="2"/>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2"/>
    <x v="1"/>
    <n v="10000"/>
    <n v="2"/>
    <x v="2"/>
    <s v="Manual"/>
    <s v="Yes"/>
    <n v="0"/>
    <x v="0"/>
    <x v="0"/>
    <x v="11"/>
    <x v="0"/>
    <x v="0"/>
  </r>
  <r>
    <n v="20236"/>
    <x v="2"/>
    <x v="1"/>
    <n v="60000"/>
    <n v="3"/>
    <x v="0"/>
    <s v="Professional"/>
    <s v="No"/>
    <n v="2"/>
    <x v="0"/>
    <x v="1"/>
    <x v="1"/>
    <x v="0"/>
    <x v="1"/>
  </r>
  <r>
    <n v="24149"/>
    <x v="0"/>
    <x v="1"/>
    <n v="10000"/>
    <n v="2"/>
    <x v="1"/>
    <s v="Manual"/>
    <s v="Yes"/>
    <n v="0"/>
    <x v="3"/>
    <x v="0"/>
    <x v="38"/>
    <x v="0"/>
    <x v="0"/>
  </r>
  <r>
    <n v="26139"/>
    <x v="2"/>
    <x v="1"/>
    <n v="60000"/>
    <n v="1"/>
    <x v="1"/>
    <s v="Skilled Manual"/>
    <s v="Yes"/>
    <n v="1"/>
    <x v="2"/>
    <x v="1"/>
    <x v="12"/>
    <x v="0"/>
    <x v="0"/>
  </r>
  <r>
    <n v="18491"/>
    <x v="2"/>
    <x v="0"/>
    <n v="70000"/>
    <n v="2"/>
    <x v="2"/>
    <s v="Professional"/>
    <s v="Yes"/>
    <n v="2"/>
    <x v="2"/>
    <x v="1"/>
    <x v="38"/>
    <x v="0"/>
    <x v="1"/>
  </r>
  <r>
    <n v="22707"/>
    <x v="2"/>
    <x v="0"/>
    <n v="30000"/>
    <n v="0"/>
    <x v="1"/>
    <s v="Clerical"/>
    <s v="No"/>
    <n v="1"/>
    <x v="1"/>
    <x v="0"/>
    <x v="25"/>
    <x v="2"/>
    <x v="0"/>
  </r>
  <r>
    <n v="20430"/>
    <x v="0"/>
    <x v="1"/>
    <n v="70000"/>
    <n v="2"/>
    <x v="1"/>
    <s v="Skilled Manual"/>
    <s v="Yes"/>
    <n v="2"/>
    <x v="2"/>
    <x v="1"/>
    <x v="31"/>
    <x v="0"/>
    <x v="1"/>
  </r>
  <r>
    <n v="27494"/>
    <x v="2"/>
    <x v="0"/>
    <n v="40000"/>
    <n v="2"/>
    <x v="1"/>
    <s v="Skilled Manual"/>
    <s v="No"/>
    <n v="2"/>
    <x v="3"/>
    <x v="1"/>
    <x v="39"/>
    <x v="0"/>
    <x v="1"/>
  </r>
  <r>
    <n v="26829"/>
    <x v="0"/>
    <x v="0"/>
    <n v="40000"/>
    <n v="0"/>
    <x v="0"/>
    <s v="Clerical"/>
    <s v="Yes"/>
    <n v="0"/>
    <x v="0"/>
    <x v="0"/>
    <x v="13"/>
    <x v="0"/>
    <x v="1"/>
  </r>
  <r>
    <n v="28395"/>
    <x v="2"/>
    <x v="1"/>
    <n v="40000"/>
    <n v="0"/>
    <x v="0"/>
    <s v="Professional"/>
    <s v="No"/>
    <n v="0"/>
    <x v="0"/>
    <x v="0"/>
    <x v="32"/>
    <x v="0"/>
    <x v="1"/>
  </r>
  <r>
    <n v="21006"/>
    <x v="2"/>
    <x v="0"/>
    <n v="30000"/>
    <n v="1"/>
    <x v="1"/>
    <s v="Manual"/>
    <s v="No"/>
    <n v="0"/>
    <x v="0"/>
    <x v="0"/>
    <x v="30"/>
    <x v="0"/>
    <x v="1"/>
  </r>
  <r>
    <n v="14682"/>
    <x v="2"/>
    <x v="0"/>
    <n v="70000"/>
    <n v="0"/>
    <x v="0"/>
    <s v="Professional"/>
    <s v="No"/>
    <n v="1"/>
    <x v="2"/>
    <x v="1"/>
    <x v="13"/>
    <x v="0"/>
    <x v="0"/>
  </r>
  <r>
    <n v="17650"/>
    <x v="2"/>
    <x v="0"/>
    <n v="40000"/>
    <n v="2"/>
    <x v="1"/>
    <s v="Clerical"/>
    <s v="Yes"/>
    <n v="2"/>
    <x v="3"/>
    <x v="0"/>
    <x v="11"/>
    <x v="0"/>
    <x v="0"/>
  </r>
  <r>
    <n v="29191"/>
    <x v="2"/>
    <x v="0"/>
    <n v="130000"/>
    <n v="1"/>
    <x v="4"/>
    <s v="Management"/>
    <s v="No"/>
    <n v="1"/>
    <x v="0"/>
    <x v="1"/>
    <x v="4"/>
    <x v="0"/>
    <x v="1"/>
  </r>
  <r>
    <n v="15030"/>
    <x v="0"/>
    <x v="1"/>
    <n v="20000"/>
    <n v="0"/>
    <x v="0"/>
    <s v="Clerical"/>
    <s v="Yes"/>
    <n v="0"/>
    <x v="0"/>
    <x v="1"/>
    <x v="22"/>
    <x v="2"/>
    <x v="1"/>
  </r>
  <r>
    <n v="24140"/>
    <x v="2"/>
    <x v="1"/>
    <n v="10000"/>
    <n v="0"/>
    <x v="4"/>
    <s v="Manual"/>
    <s v="No"/>
    <n v="0"/>
    <x v="0"/>
    <x v="0"/>
    <x v="25"/>
    <x v="2"/>
    <x v="1"/>
  </r>
  <r>
    <n v="22496"/>
    <x v="0"/>
    <x v="0"/>
    <n v="30000"/>
    <n v="1"/>
    <x v="0"/>
    <s v="Skilled Manual"/>
    <s v="Yes"/>
    <n v="2"/>
    <x v="0"/>
    <x v="0"/>
    <x v="0"/>
    <x v="0"/>
    <x v="0"/>
  </r>
  <r>
    <n v="24065"/>
    <x v="2"/>
    <x v="0"/>
    <n v="20000"/>
    <n v="0"/>
    <x v="2"/>
    <s v="Manual"/>
    <s v="Yes"/>
    <n v="0"/>
    <x v="0"/>
    <x v="0"/>
    <x v="8"/>
    <x v="0"/>
    <x v="1"/>
  </r>
  <r>
    <n v="19914"/>
    <x v="0"/>
    <x v="1"/>
    <n v="80000"/>
    <n v="5"/>
    <x v="0"/>
    <s v="Management"/>
    <s v="Yes"/>
    <n v="2"/>
    <x v="1"/>
    <x v="0"/>
    <x v="24"/>
    <x v="1"/>
    <x v="0"/>
  </r>
  <r>
    <n v="12871"/>
    <x v="2"/>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2"/>
    <x v="0"/>
    <n v="80000"/>
    <n v="0"/>
    <x v="0"/>
    <s v="Professional"/>
    <s v="No"/>
    <n v="3"/>
    <x v="4"/>
    <x v="1"/>
    <x v="23"/>
    <x v="0"/>
    <x v="0"/>
  </r>
  <r>
    <n v="23627"/>
    <x v="2"/>
    <x v="0"/>
    <n v="100000"/>
    <n v="3"/>
    <x v="1"/>
    <s v="Management"/>
    <s v="No"/>
    <n v="4"/>
    <x v="2"/>
    <x v="0"/>
    <x v="16"/>
    <x v="1"/>
    <x v="0"/>
  </r>
  <r>
    <n v="27775"/>
    <x v="2"/>
    <x v="0"/>
    <n v="40000"/>
    <n v="0"/>
    <x v="0"/>
    <s v="Clerical"/>
    <s v="No"/>
    <n v="0"/>
    <x v="0"/>
    <x v="0"/>
    <x v="13"/>
    <x v="0"/>
    <x v="1"/>
  </r>
  <r>
    <n v="29301"/>
    <x v="0"/>
    <x v="1"/>
    <n v="80000"/>
    <n v="5"/>
    <x v="0"/>
    <s v="Professional"/>
    <s v="Yes"/>
    <n v="4"/>
    <x v="3"/>
    <x v="1"/>
    <x v="8"/>
    <x v="0"/>
    <x v="0"/>
  </r>
  <r>
    <n v="12716"/>
    <x v="2"/>
    <x v="1"/>
    <n v="30000"/>
    <n v="0"/>
    <x v="1"/>
    <s v="Clerical"/>
    <s v="Yes"/>
    <n v="1"/>
    <x v="1"/>
    <x v="0"/>
    <x v="21"/>
    <x v="0"/>
    <x v="0"/>
  </r>
  <r>
    <n v="12472"/>
    <x v="0"/>
    <x v="1"/>
    <n v="30000"/>
    <n v="1"/>
    <x v="0"/>
    <s v="Clerical"/>
    <s v="Yes"/>
    <n v="1"/>
    <x v="1"/>
    <x v="0"/>
    <x v="32"/>
    <x v="0"/>
    <x v="0"/>
  </r>
  <r>
    <n v="20970"/>
    <x v="2"/>
    <x v="1"/>
    <n v="10000"/>
    <n v="2"/>
    <x v="1"/>
    <s v="Manual"/>
    <s v="Yes"/>
    <n v="1"/>
    <x v="0"/>
    <x v="0"/>
    <x v="31"/>
    <x v="0"/>
    <x v="1"/>
  </r>
  <r>
    <n v="26818"/>
    <x v="2"/>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2"/>
    <x v="1"/>
    <n v="40000"/>
    <n v="2"/>
    <x v="0"/>
    <s v="Management"/>
    <s v="Yes"/>
    <n v="2"/>
    <x v="2"/>
    <x v="1"/>
    <x v="27"/>
    <x v="1"/>
    <x v="1"/>
  </r>
  <r>
    <n v="21094"/>
    <x v="2"/>
    <x v="0"/>
    <n v="30000"/>
    <n v="2"/>
    <x v="1"/>
    <s v="Clerical"/>
    <s v="Yes"/>
    <n v="2"/>
    <x v="0"/>
    <x v="0"/>
    <x v="0"/>
    <x v="0"/>
    <x v="0"/>
  </r>
  <r>
    <n v="12234"/>
    <x v="0"/>
    <x v="1"/>
    <n v="10000"/>
    <n v="2"/>
    <x v="1"/>
    <s v="Manual"/>
    <s v="Yes"/>
    <n v="1"/>
    <x v="1"/>
    <x v="0"/>
    <x v="31"/>
    <x v="0"/>
    <x v="0"/>
  </r>
  <r>
    <n v="28683"/>
    <x v="2"/>
    <x v="0"/>
    <n v="10000"/>
    <n v="1"/>
    <x v="2"/>
    <s v="Manual"/>
    <s v="No"/>
    <n v="1"/>
    <x v="2"/>
    <x v="0"/>
    <x v="11"/>
    <x v="0"/>
    <x v="1"/>
  </r>
  <r>
    <n v="17994"/>
    <x v="2"/>
    <x v="1"/>
    <n v="20000"/>
    <n v="2"/>
    <x v="2"/>
    <s v="Manual"/>
    <s v="Yes"/>
    <n v="2"/>
    <x v="0"/>
    <x v="0"/>
    <x v="0"/>
    <x v="0"/>
    <x v="0"/>
  </r>
  <r>
    <n v="24273"/>
    <x v="0"/>
    <x v="0"/>
    <n v="20000"/>
    <n v="2"/>
    <x v="3"/>
    <s v="Clerical"/>
    <s v="Yes"/>
    <n v="2"/>
    <x v="2"/>
    <x v="1"/>
    <x v="10"/>
    <x v="0"/>
    <x v="1"/>
  </r>
  <r>
    <n v="26547"/>
    <x v="2"/>
    <x v="0"/>
    <n v="30000"/>
    <n v="2"/>
    <x v="1"/>
    <s v="Clerical"/>
    <s v="No"/>
    <n v="2"/>
    <x v="2"/>
    <x v="1"/>
    <x v="2"/>
    <x v="1"/>
    <x v="1"/>
  </r>
  <r>
    <n v="22500"/>
    <x v="2"/>
    <x v="1"/>
    <n v="40000"/>
    <n v="0"/>
    <x v="0"/>
    <s v="Professional"/>
    <s v="No"/>
    <n v="0"/>
    <x v="0"/>
    <x v="0"/>
    <x v="8"/>
    <x v="0"/>
    <x v="1"/>
  </r>
  <r>
    <n v="23993"/>
    <x v="2"/>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2"/>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2"/>
    <x v="1"/>
    <n v="30000"/>
    <n v="0"/>
    <x v="1"/>
    <s v="Clerical"/>
    <s v="No"/>
    <n v="1"/>
    <x v="3"/>
    <x v="0"/>
    <x v="40"/>
    <x v="2"/>
    <x v="0"/>
  </r>
  <r>
    <n v="26154"/>
    <x v="0"/>
    <x v="1"/>
    <n v="60000"/>
    <n v="1"/>
    <x v="1"/>
    <s v="Skilled Manual"/>
    <s v="Yes"/>
    <n v="1"/>
    <x v="2"/>
    <x v="1"/>
    <x v="1"/>
    <x v="0"/>
    <x v="1"/>
  </r>
  <r>
    <n v="29117"/>
    <x v="2"/>
    <x v="1"/>
    <n v="100000"/>
    <n v="1"/>
    <x v="0"/>
    <s v="Management"/>
    <s v="No"/>
    <n v="3"/>
    <x v="0"/>
    <x v="1"/>
    <x v="28"/>
    <x v="0"/>
    <x v="0"/>
  </r>
  <r>
    <n v="17845"/>
    <x v="2"/>
    <x v="0"/>
    <n v="20000"/>
    <n v="0"/>
    <x v="3"/>
    <s v="Manual"/>
    <s v="No"/>
    <n v="2"/>
    <x v="3"/>
    <x v="0"/>
    <x v="21"/>
    <x v="0"/>
    <x v="0"/>
  </r>
  <r>
    <n v="25058"/>
    <x v="0"/>
    <x v="1"/>
    <n v="100000"/>
    <n v="1"/>
    <x v="0"/>
    <s v="Management"/>
    <s v="Yes"/>
    <n v="3"/>
    <x v="1"/>
    <x v="1"/>
    <x v="15"/>
    <x v="0"/>
    <x v="0"/>
  </r>
  <r>
    <n v="23426"/>
    <x v="2"/>
    <x v="1"/>
    <n v="80000"/>
    <n v="5"/>
    <x v="4"/>
    <s v="Management"/>
    <s v="Yes"/>
    <n v="3"/>
    <x v="0"/>
    <x v="1"/>
    <x v="8"/>
    <x v="0"/>
    <x v="0"/>
  </r>
  <r>
    <n v="14798"/>
    <x v="2"/>
    <x v="0"/>
    <n v="10000"/>
    <n v="4"/>
    <x v="3"/>
    <s v="Manual"/>
    <s v="Yes"/>
    <n v="2"/>
    <x v="0"/>
    <x v="0"/>
    <x v="3"/>
    <x v="0"/>
    <x v="1"/>
  </r>
  <r>
    <n v="12664"/>
    <x v="0"/>
    <x v="0"/>
    <n v="130000"/>
    <n v="5"/>
    <x v="1"/>
    <s v="Professional"/>
    <s v="Yes"/>
    <n v="4"/>
    <x v="0"/>
    <x v="0"/>
    <x v="14"/>
    <x v="1"/>
    <x v="0"/>
  </r>
  <r>
    <n v="23979"/>
    <x v="2"/>
    <x v="1"/>
    <n v="10000"/>
    <n v="2"/>
    <x v="1"/>
    <s v="Manual"/>
    <s v="No"/>
    <n v="0"/>
    <x v="0"/>
    <x v="0"/>
    <x v="5"/>
    <x v="0"/>
    <x v="0"/>
  </r>
  <r>
    <n v="25605"/>
    <x v="2"/>
    <x v="0"/>
    <n v="20000"/>
    <n v="2"/>
    <x v="1"/>
    <s v="Manual"/>
    <s v="No"/>
    <n v="1"/>
    <x v="0"/>
    <x v="0"/>
    <x v="9"/>
    <x v="0"/>
    <x v="1"/>
  </r>
  <r>
    <n v="20797"/>
    <x v="0"/>
    <x v="0"/>
    <n v="10000"/>
    <n v="1"/>
    <x v="0"/>
    <s v="Manual"/>
    <s v="Yes"/>
    <n v="0"/>
    <x v="0"/>
    <x v="0"/>
    <x v="28"/>
    <x v="0"/>
    <x v="0"/>
  </r>
  <r>
    <n v="21980"/>
    <x v="2"/>
    <x v="0"/>
    <n v="60000"/>
    <n v="1"/>
    <x v="0"/>
    <s v="Professional"/>
    <s v="Yes"/>
    <n v="1"/>
    <x v="2"/>
    <x v="1"/>
    <x v="20"/>
    <x v="0"/>
    <x v="1"/>
  </r>
  <r>
    <n v="25460"/>
    <x v="0"/>
    <x v="0"/>
    <n v="20000"/>
    <n v="2"/>
    <x v="2"/>
    <s v="Manual"/>
    <s v="Yes"/>
    <n v="0"/>
    <x v="0"/>
    <x v="0"/>
    <x v="8"/>
    <x v="0"/>
    <x v="1"/>
  </r>
  <r>
    <n v="29181"/>
    <x v="2"/>
    <x v="0"/>
    <n v="60000"/>
    <n v="2"/>
    <x v="0"/>
    <s v="Professional"/>
    <s v="No"/>
    <n v="1"/>
    <x v="0"/>
    <x v="1"/>
    <x v="13"/>
    <x v="0"/>
    <x v="1"/>
  </r>
  <r>
    <n v="24279"/>
    <x v="2"/>
    <x v="1"/>
    <n v="40000"/>
    <n v="2"/>
    <x v="1"/>
    <s v="Skilled Manual"/>
    <s v="No"/>
    <n v="2"/>
    <x v="3"/>
    <x v="1"/>
    <x v="31"/>
    <x v="0"/>
    <x v="0"/>
  </r>
  <r>
    <n v="22402"/>
    <x v="0"/>
    <x v="1"/>
    <n v="10000"/>
    <n v="0"/>
    <x v="1"/>
    <s v="Manual"/>
    <s v="Yes"/>
    <n v="1"/>
    <x v="1"/>
    <x v="1"/>
    <x v="37"/>
    <x v="2"/>
    <x v="1"/>
  </r>
  <r>
    <n v="15465"/>
    <x v="0"/>
    <x v="0"/>
    <n v="10000"/>
    <n v="0"/>
    <x v="1"/>
    <s v="Manual"/>
    <s v="No"/>
    <n v="1"/>
    <x v="0"/>
    <x v="1"/>
    <x v="37"/>
    <x v="2"/>
    <x v="0"/>
  </r>
  <r>
    <n v="26757"/>
    <x v="2"/>
    <x v="1"/>
    <n v="90000"/>
    <n v="1"/>
    <x v="0"/>
    <s v="Professional"/>
    <s v="Yes"/>
    <n v="1"/>
    <x v="1"/>
    <x v="1"/>
    <x v="15"/>
    <x v="0"/>
    <x v="1"/>
  </r>
  <r>
    <n v="14233"/>
    <x v="2"/>
    <x v="1"/>
    <n v="100000"/>
    <n v="0"/>
    <x v="2"/>
    <s v="Management"/>
    <s v="Yes"/>
    <n v="3"/>
    <x v="4"/>
    <x v="1"/>
    <x v="11"/>
    <x v="0"/>
    <x v="0"/>
  </r>
  <r>
    <n v="14058"/>
    <x v="2"/>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2"/>
    <x v="1"/>
    <n v="50000"/>
    <n v="0"/>
    <x v="4"/>
    <s v="Skilled Manual"/>
    <s v="Yes"/>
    <n v="0"/>
    <x v="0"/>
    <x v="0"/>
    <x v="34"/>
    <x v="0"/>
    <x v="1"/>
  </r>
  <r>
    <n v="17504"/>
    <x v="2"/>
    <x v="0"/>
    <n v="80000"/>
    <n v="2"/>
    <x v="1"/>
    <s v="Skilled Manual"/>
    <s v="Yes"/>
    <n v="2"/>
    <x v="2"/>
    <x v="1"/>
    <x v="31"/>
    <x v="0"/>
    <x v="1"/>
  </r>
  <r>
    <n v="12253"/>
    <x v="2"/>
    <x v="0"/>
    <n v="20000"/>
    <n v="0"/>
    <x v="1"/>
    <s v="Manual"/>
    <s v="Yes"/>
    <n v="0"/>
    <x v="0"/>
    <x v="1"/>
    <x v="19"/>
    <x v="2"/>
    <x v="1"/>
  </r>
  <r>
    <n v="27304"/>
    <x v="2"/>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2"/>
    <x v="1"/>
    <n v="10000"/>
    <n v="1"/>
    <x v="4"/>
    <s v="Manual"/>
    <s v="Yes"/>
    <n v="0"/>
    <x v="0"/>
    <x v="0"/>
    <x v="20"/>
    <x v="0"/>
    <x v="0"/>
  </r>
  <r>
    <n v="22170"/>
    <x v="0"/>
    <x v="0"/>
    <n v="30000"/>
    <n v="3"/>
    <x v="1"/>
    <s v="Clerical"/>
    <s v="No"/>
    <n v="2"/>
    <x v="3"/>
    <x v="1"/>
    <x v="10"/>
    <x v="0"/>
    <x v="1"/>
  </r>
  <r>
    <n v="19445"/>
    <x v="0"/>
    <x v="0"/>
    <n v="10000"/>
    <n v="2"/>
    <x v="2"/>
    <s v="Manual"/>
    <s v="No"/>
    <n v="1"/>
    <x v="0"/>
    <x v="0"/>
    <x v="13"/>
    <x v="0"/>
    <x v="0"/>
  </r>
  <r>
    <n v="15265"/>
    <x v="2"/>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2"/>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2"/>
    <x v="1"/>
    <n v="90000"/>
    <n v="2"/>
    <x v="2"/>
    <s v="Manual"/>
    <s v="Yes"/>
    <n v="0"/>
    <x v="0"/>
    <x v="0"/>
    <x v="4"/>
    <x v="0"/>
    <x v="1"/>
  </r>
  <r>
    <n v="15682"/>
    <x v="2"/>
    <x v="0"/>
    <n v="80000"/>
    <n v="5"/>
    <x v="0"/>
    <s v="Management"/>
    <s v="Yes"/>
    <n v="2"/>
    <x v="4"/>
    <x v="0"/>
    <x v="24"/>
    <x v="1"/>
    <x v="0"/>
  </r>
  <r>
    <n v="26032"/>
    <x v="0"/>
    <x v="0"/>
    <n v="70000"/>
    <n v="5"/>
    <x v="0"/>
    <s v="Professional"/>
    <s v="Yes"/>
    <n v="4"/>
    <x v="4"/>
    <x v="1"/>
    <x v="3"/>
    <x v="0"/>
    <x v="0"/>
  </r>
  <r>
    <n v="17843"/>
    <x v="2"/>
    <x v="0"/>
    <n v="10000"/>
    <n v="0"/>
    <x v="3"/>
    <s v="Manual"/>
    <s v="No"/>
    <n v="2"/>
    <x v="0"/>
    <x v="0"/>
    <x v="21"/>
    <x v="0"/>
    <x v="0"/>
  </r>
  <r>
    <n v="25559"/>
    <x v="2"/>
    <x v="1"/>
    <n v="20000"/>
    <n v="0"/>
    <x v="0"/>
    <s v="Clerical"/>
    <s v="Yes"/>
    <n v="0"/>
    <x v="0"/>
    <x v="1"/>
    <x v="37"/>
    <x v="2"/>
    <x v="1"/>
  </r>
  <r>
    <n v="16209"/>
    <x v="2"/>
    <x v="0"/>
    <n v="50000"/>
    <n v="0"/>
    <x v="4"/>
    <s v="Skilled Manual"/>
    <s v="Yes"/>
    <n v="0"/>
    <x v="3"/>
    <x v="0"/>
    <x v="4"/>
    <x v="0"/>
    <x v="0"/>
  </r>
  <r>
    <n v="11147"/>
    <x v="0"/>
    <x v="1"/>
    <n v="60000"/>
    <n v="2"/>
    <x v="4"/>
    <s v="Management"/>
    <s v="Yes"/>
    <n v="1"/>
    <x v="0"/>
    <x v="1"/>
    <x v="41"/>
    <x v="1"/>
    <x v="1"/>
  </r>
  <r>
    <n v="15214"/>
    <x v="2"/>
    <x v="0"/>
    <n v="100000"/>
    <n v="0"/>
    <x v="4"/>
    <s v="Management"/>
    <s v="No"/>
    <n v="1"/>
    <x v="3"/>
    <x v="1"/>
    <x v="32"/>
    <x v="0"/>
    <x v="1"/>
  </r>
  <r>
    <n v="11453"/>
    <x v="2"/>
    <x v="1"/>
    <n v="80000"/>
    <n v="0"/>
    <x v="0"/>
    <s v="Professional"/>
    <s v="No"/>
    <n v="3"/>
    <x v="4"/>
    <x v="1"/>
    <x v="6"/>
    <x v="0"/>
    <x v="1"/>
  </r>
  <r>
    <n v="24584"/>
    <x v="2"/>
    <x v="1"/>
    <n v="60000"/>
    <n v="0"/>
    <x v="0"/>
    <s v="Professional"/>
    <s v="No"/>
    <n v="3"/>
    <x v="1"/>
    <x v="1"/>
    <x v="23"/>
    <x v="0"/>
    <x v="0"/>
  </r>
  <r>
    <n v="12585"/>
    <x v="0"/>
    <x v="1"/>
    <n v="10000"/>
    <n v="1"/>
    <x v="2"/>
    <s v="Manual"/>
    <s v="Yes"/>
    <n v="0"/>
    <x v="1"/>
    <x v="1"/>
    <x v="40"/>
    <x v="2"/>
    <x v="1"/>
  </r>
  <r>
    <n v="18626"/>
    <x v="2"/>
    <x v="1"/>
    <n v="40000"/>
    <n v="2"/>
    <x v="1"/>
    <s v="Clerical"/>
    <s v="Yes"/>
    <n v="0"/>
    <x v="3"/>
    <x v="0"/>
    <x v="6"/>
    <x v="0"/>
    <x v="1"/>
  </r>
  <r>
    <n v="29298"/>
    <x v="2"/>
    <x v="0"/>
    <n v="60000"/>
    <n v="1"/>
    <x v="1"/>
    <s v="Skilled Manual"/>
    <s v="Yes"/>
    <n v="1"/>
    <x v="2"/>
    <x v="1"/>
    <x v="30"/>
    <x v="0"/>
    <x v="1"/>
  </r>
  <r>
    <n v="24842"/>
    <x v="2"/>
    <x v="0"/>
    <n v="90000"/>
    <n v="3"/>
    <x v="2"/>
    <s v="Professional"/>
    <s v="No"/>
    <n v="1"/>
    <x v="1"/>
    <x v="0"/>
    <x v="36"/>
    <x v="0"/>
    <x v="0"/>
  </r>
  <r>
    <n v="15657"/>
    <x v="0"/>
    <x v="1"/>
    <n v="30000"/>
    <n v="3"/>
    <x v="4"/>
    <s v="Clerical"/>
    <s v="Yes"/>
    <n v="0"/>
    <x v="0"/>
    <x v="0"/>
    <x v="30"/>
    <x v="0"/>
    <x v="1"/>
  </r>
  <r>
    <n v="11415"/>
    <x v="2"/>
    <x v="1"/>
    <n v="90000"/>
    <n v="5"/>
    <x v="1"/>
    <s v="Professional"/>
    <s v="No"/>
    <n v="2"/>
    <x v="4"/>
    <x v="0"/>
    <x v="24"/>
    <x v="1"/>
    <x v="0"/>
  </r>
  <r>
    <n v="28729"/>
    <x v="2"/>
    <x v="0"/>
    <n v="20000"/>
    <n v="0"/>
    <x v="3"/>
    <s v="Manual"/>
    <s v="Yes"/>
    <n v="2"/>
    <x v="3"/>
    <x v="0"/>
    <x v="22"/>
    <x v="2"/>
    <x v="1"/>
  </r>
  <r>
    <n v="22633"/>
    <x v="2"/>
    <x v="0"/>
    <n v="40000"/>
    <n v="0"/>
    <x v="4"/>
    <s v="Clerical"/>
    <s v="Yes"/>
    <n v="0"/>
    <x v="0"/>
    <x v="0"/>
    <x v="34"/>
    <x v="0"/>
    <x v="1"/>
  </r>
  <r>
    <n v="25649"/>
    <x v="2"/>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2"/>
    <x v="0"/>
    <n v="30000"/>
    <n v="0"/>
    <x v="1"/>
    <s v="Clerical"/>
    <s v="No"/>
    <n v="1"/>
    <x v="1"/>
    <x v="0"/>
    <x v="25"/>
    <x v="2"/>
    <x v="0"/>
  </r>
  <r>
    <n v="11451"/>
    <x v="2"/>
    <x v="1"/>
    <n v="70000"/>
    <n v="0"/>
    <x v="0"/>
    <s v="Professional"/>
    <s v="No"/>
    <n v="4"/>
    <x v="4"/>
    <x v="1"/>
    <x v="23"/>
    <x v="0"/>
    <x v="1"/>
  </r>
  <r>
    <n v="25553"/>
    <x v="0"/>
    <x v="1"/>
    <n v="30000"/>
    <n v="1"/>
    <x v="0"/>
    <s v="Clerical"/>
    <s v="Yes"/>
    <n v="0"/>
    <x v="0"/>
    <x v="0"/>
    <x v="27"/>
    <x v="1"/>
    <x v="1"/>
  </r>
  <r>
    <n v="27951"/>
    <x v="2"/>
    <x v="1"/>
    <n v="80000"/>
    <n v="4"/>
    <x v="1"/>
    <s v="Professional"/>
    <s v="No"/>
    <n v="2"/>
    <x v="1"/>
    <x v="0"/>
    <x v="9"/>
    <x v="0"/>
    <x v="1"/>
  </r>
  <r>
    <n v="25026"/>
    <x v="0"/>
    <x v="1"/>
    <n v="20000"/>
    <n v="2"/>
    <x v="3"/>
    <s v="Clerical"/>
    <s v="Yes"/>
    <n v="3"/>
    <x v="2"/>
    <x v="1"/>
    <x v="9"/>
    <x v="0"/>
    <x v="0"/>
  </r>
  <r>
    <n v="13673"/>
    <x v="2"/>
    <x v="0"/>
    <n v="20000"/>
    <n v="0"/>
    <x v="3"/>
    <s v="Manual"/>
    <s v="No"/>
    <n v="2"/>
    <x v="0"/>
    <x v="0"/>
    <x v="37"/>
    <x v="2"/>
    <x v="0"/>
  </r>
  <r>
    <n v="16043"/>
    <x v="2"/>
    <x v="1"/>
    <n v="10000"/>
    <n v="1"/>
    <x v="0"/>
    <s v="Manual"/>
    <s v="Yes"/>
    <n v="0"/>
    <x v="0"/>
    <x v="0"/>
    <x v="28"/>
    <x v="0"/>
    <x v="0"/>
  </r>
  <r>
    <n v="22399"/>
    <x v="2"/>
    <x v="1"/>
    <n v="10000"/>
    <n v="0"/>
    <x v="1"/>
    <s v="Manual"/>
    <s v="Yes"/>
    <n v="1"/>
    <x v="3"/>
    <x v="1"/>
    <x v="22"/>
    <x v="2"/>
    <x v="1"/>
  </r>
  <r>
    <n v="27696"/>
    <x v="0"/>
    <x v="1"/>
    <n v="60000"/>
    <n v="1"/>
    <x v="0"/>
    <s v="Professional"/>
    <s v="Yes"/>
    <n v="1"/>
    <x v="2"/>
    <x v="1"/>
    <x v="1"/>
    <x v="0"/>
    <x v="1"/>
  </r>
  <r>
    <n v="25313"/>
    <x v="2"/>
    <x v="1"/>
    <n v="10000"/>
    <n v="0"/>
    <x v="3"/>
    <s v="Manual"/>
    <s v="No"/>
    <n v="2"/>
    <x v="3"/>
    <x v="0"/>
    <x v="11"/>
    <x v="0"/>
    <x v="0"/>
  </r>
  <r>
    <n v="13813"/>
    <x v="0"/>
    <x v="0"/>
    <n v="30000"/>
    <n v="3"/>
    <x v="1"/>
    <s v="Clerical"/>
    <s v="No"/>
    <n v="0"/>
    <x v="0"/>
    <x v="0"/>
    <x v="0"/>
    <x v="0"/>
    <x v="0"/>
  </r>
  <r>
    <n v="18711"/>
    <x v="2"/>
    <x v="0"/>
    <n v="70000"/>
    <n v="5"/>
    <x v="0"/>
    <s v="Professional"/>
    <s v="Yes"/>
    <n v="4"/>
    <x v="4"/>
    <x v="1"/>
    <x v="32"/>
    <x v="0"/>
    <x v="0"/>
  </r>
  <r>
    <n v="19650"/>
    <x v="0"/>
    <x v="0"/>
    <n v="30000"/>
    <n v="2"/>
    <x v="1"/>
    <s v="Clerical"/>
    <s v="No"/>
    <n v="2"/>
    <x v="0"/>
    <x v="1"/>
    <x v="41"/>
    <x v="1"/>
    <x v="0"/>
  </r>
  <r>
    <n v="14135"/>
    <x v="0"/>
    <x v="1"/>
    <n v="20000"/>
    <n v="1"/>
    <x v="1"/>
    <s v="Manual"/>
    <s v="Yes"/>
    <n v="0"/>
    <x v="3"/>
    <x v="0"/>
    <x v="11"/>
    <x v="0"/>
    <x v="0"/>
  </r>
  <r>
    <n v="12833"/>
    <x v="2"/>
    <x v="0"/>
    <n v="20000"/>
    <n v="3"/>
    <x v="2"/>
    <s v="Manual"/>
    <s v="Yes"/>
    <n v="1"/>
    <x v="0"/>
    <x v="0"/>
    <x v="0"/>
    <x v="0"/>
    <x v="1"/>
  </r>
  <r>
    <n v="26849"/>
    <x v="0"/>
    <x v="1"/>
    <n v="10000"/>
    <n v="3"/>
    <x v="3"/>
    <s v="Manual"/>
    <s v="Yes"/>
    <n v="2"/>
    <x v="0"/>
    <x v="0"/>
    <x v="1"/>
    <x v="0"/>
    <x v="0"/>
  </r>
  <r>
    <n v="20962"/>
    <x v="0"/>
    <x v="0"/>
    <n v="20000"/>
    <n v="1"/>
    <x v="4"/>
    <s v="Clerical"/>
    <s v="Yes"/>
    <n v="0"/>
    <x v="0"/>
    <x v="0"/>
    <x v="12"/>
    <x v="0"/>
    <x v="0"/>
  </r>
  <r>
    <n v="28915"/>
    <x v="2"/>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2"/>
    <x v="1"/>
    <n v="90000"/>
    <n v="0"/>
    <x v="0"/>
    <s v="Professional"/>
    <s v="No"/>
    <n v="4"/>
    <x v="4"/>
    <x v="1"/>
    <x v="11"/>
    <x v="0"/>
    <x v="1"/>
  </r>
  <r>
    <n v="11340"/>
    <x v="0"/>
    <x v="0"/>
    <n v="10000"/>
    <n v="1"/>
    <x v="4"/>
    <s v="Clerical"/>
    <s v="Yes"/>
    <n v="0"/>
    <x v="0"/>
    <x v="0"/>
    <x v="43"/>
    <x v="1"/>
    <x v="1"/>
  </r>
  <r>
    <n v="25693"/>
    <x v="2"/>
    <x v="0"/>
    <n v="30000"/>
    <n v="5"/>
    <x v="4"/>
    <s v="Clerical"/>
    <s v="Yes"/>
    <n v="0"/>
    <x v="0"/>
    <x v="0"/>
    <x v="20"/>
    <x v="0"/>
    <x v="1"/>
  </r>
  <r>
    <n v="25555"/>
    <x v="0"/>
    <x v="0"/>
    <n v="10000"/>
    <n v="0"/>
    <x v="1"/>
    <s v="Manual"/>
    <s v="No"/>
    <n v="1"/>
    <x v="0"/>
    <x v="1"/>
    <x v="22"/>
    <x v="2"/>
    <x v="1"/>
  </r>
  <r>
    <n v="22006"/>
    <x v="0"/>
    <x v="1"/>
    <n v="70000"/>
    <n v="5"/>
    <x v="1"/>
    <s v="Skilled Manual"/>
    <s v="Yes"/>
    <n v="3"/>
    <x v="2"/>
    <x v="1"/>
    <x v="30"/>
    <x v="0"/>
    <x v="0"/>
  </r>
  <r>
    <n v="20060"/>
    <x v="2"/>
    <x v="0"/>
    <n v="30000"/>
    <n v="0"/>
    <x v="2"/>
    <s v="Manual"/>
    <s v="No"/>
    <n v="1"/>
    <x v="1"/>
    <x v="0"/>
    <x v="17"/>
    <x v="0"/>
    <x v="1"/>
  </r>
  <r>
    <n v="17702"/>
    <x v="0"/>
    <x v="1"/>
    <n v="10000"/>
    <n v="1"/>
    <x v="4"/>
    <s v="Manual"/>
    <s v="Yes"/>
    <n v="0"/>
    <x v="0"/>
    <x v="0"/>
    <x v="34"/>
    <x v="0"/>
    <x v="0"/>
  </r>
  <r>
    <n v="12503"/>
    <x v="2"/>
    <x v="0"/>
    <n v="30000"/>
    <n v="3"/>
    <x v="1"/>
    <s v="Clerical"/>
    <s v="Yes"/>
    <n v="2"/>
    <x v="0"/>
    <x v="0"/>
    <x v="40"/>
    <x v="2"/>
    <x v="0"/>
  </r>
  <r>
    <n v="23908"/>
    <x v="2"/>
    <x v="1"/>
    <n v="30000"/>
    <n v="1"/>
    <x v="0"/>
    <s v="Clerical"/>
    <s v="No"/>
    <n v="1"/>
    <x v="0"/>
    <x v="0"/>
    <x v="32"/>
    <x v="0"/>
    <x v="1"/>
  </r>
  <r>
    <n v="22527"/>
    <x v="2"/>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2"/>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2"/>
    <x v="1"/>
    <n v="60000"/>
    <n v="0"/>
    <x v="0"/>
    <s v="Professional"/>
    <s v="No"/>
    <n v="4"/>
    <x v="1"/>
    <x v="1"/>
    <x v="23"/>
    <x v="0"/>
    <x v="0"/>
  </r>
  <r>
    <n v="20598"/>
    <x v="0"/>
    <x v="1"/>
    <n v="100000"/>
    <n v="3"/>
    <x v="3"/>
    <s v="Professional"/>
    <s v="Yes"/>
    <n v="0"/>
    <x v="4"/>
    <x v="0"/>
    <x v="14"/>
    <x v="1"/>
    <x v="1"/>
  </r>
  <r>
    <n v="21375"/>
    <x v="2"/>
    <x v="1"/>
    <n v="20000"/>
    <n v="2"/>
    <x v="3"/>
    <s v="Clerical"/>
    <s v="Yes"/>
    <n v="2"/>
    <x v="2"/>
    <x v="1"/>
    <x v="42"/>
    <x v="1"/>
    <x v="0"/>
  </r>
  <r>
    <n v="20839"/>
    <x v="2"/>
    <x v="0"/>
    <n v="30000"/>
    <n v="3"/>
    <x v="4"/>
    <s v="Clerical"/>
    <s v="Yes"/>
    <n v="0"/>
    <x v="0"/>
    <x v="0"/>
    <x v="15"/>
    <x v="0"/>
    <x v="1"/>
  </r>
  <r>
    <n v="21738"/>
    <x v="0"/>
    <x v="1"/>
    <n v="20000"/>
    <n v="1"/>
    <x v="4"/>
    <s v="Clerical"/>
    <s v="Yes"/>
    <n v="0"/>
    <x v="0"/>
    <x v="0"/>
    <x v="1"/>
    <x v="0"/>
    <x v="0"/>
  </r>
  <r>
    <n v="14164"/>
    <x v="2"/>
    <x v="0"/>
    <n v="50000"/>
    <n v="0"/>
    <x v="4"/>
    <s v="Skilled Manual"/>
    <s v="Yes"/>
    <n v="0"/>
    <x v="0"/>
    <x v="0"/>
    <x v="4"/>
    <x v="0"/>
    <x v="1"/>
  </r>
  <r>
    <n v="14193"/>
    <x v="2"/>
    <x v="0"/>
    <n v="100000"/>
    <n v="3"/>
    <x v="1"/>
    <s v="Management"/>
    <s v="Yes"/>
    <n v="4"/>
    <x v="4"/>
    <x v="0"/>
    <x v="16"/>
    <x v="1"/>
    <x v="0"/>
  </r>
  <r>
    <n v="12705"/>
    <x v="0"/>
    <x v="1"/>
    <n v="150000"/>
    <n v="0"/>
    <x v="0"/>
    <s v="Management"/>
    <s v="Yes"/>
    <n v="4"/>
    <x v="0"/>
    <x v="1"/>
    <x v="34"/>
    <x v="0"/>
    <x v="1"/>
  </r>
  <r>
    <n v="22672"/>
    <x v="2"/>
    <x v="0"/>
    <n v="30000"/>
    <n v="2"/>
    <x v="1"/>
    <s v="Clerical"/>
    <s v="Yes"/>
    <n v="0"/>
    <x v="0"/>
    <x v="0"/>
    <x v="1"/>
    <x v="0"/>
    <x v="0"/>
  </r>
  <r>
    <n v="26219"/>
    <x v="0"/>
    <x v="0"/>
    <n v="40000"/>
    <n v="1"/>
    <x v="0"/>
    <s v="Skilled Manual"/>
    <s v="Yes"/>
    <n v="1"/>
    <x v="3"/>
    <x v="0"/>
    <x v="6"/>
    <x v="0"/>
    <x v="1"/>
  </r>
  <r>
    <n v="28468"/>
    <x v="0"/>
    <x v="0"/>
    <n v="10000"/>
    <n v="2"/>
    <x v="1"/>
    <s v="Manual"/>
    <s v="Yes"/>
    <n v="0"/>
    <x v="3"/>
    <x v="0"/>
    <x v="36"/>
    <x v="0"/>
    <x v="0"/>
  </r>
  <r>
    <n v="23419"/>
    <x v="2"/>
    <x v="0"/>
    <n v="70000"/>
    <n v="5"/>
    <x v="0"/>
    <s v="Professional"/>
    <s v="Yes"/>
    <n v="3"/>
    <x v="4"/>
    <x v="1"/>
    <x v="32"/>
    <x v="0"/>
    <x v="0"/>
  </r>
  <r>
    <n v="17964"/>
    <x v="0"/>
    <x v="1"/>
    <n v="40000"/>
    <n v="0"/>
    <x v="4"/>
    <s v="Clerical"/>
    <s v="Yes"/>
    <n v="0"/>
    <x v="0"/>
    <x v="0"/>
    <x v="34"/>
    <x v="0"/>
    <x v="1"/>
  </r>
  <r>
    <n v="20919"/>
    <x v="2"/>
    <x v="0"/>
    <n v="30000"/>
    <n v="2"/>
    <x v="1"/>
    <s v="Clerical"/>
    <s v="Yes"/>
    <n v="2"/>
    <x v="0"/>
    <x v="0"/>
    <x v="0"/>
    <x v="0"/>
    <x v="0"/>
  </r>
  <r>
    <n v="20927"/>
    <x v="2"/>
    <x v="0"/>
    <n v="20000"/>
    <n v="5"/>
    <x v="2"/>
    <s v="Manual"/>
    <s v="Yes"/>
    <n v="2"/>
    <x v="0"/>
    <x v="0"/>
    <x v="40"/>
    <x v="2"/>
    <x v="0"/>
  </r>
  <r>
    <n v="13133"/>
    <x v="2"/>
    <x v="1"/>
    <n v="100000"/>
    <n v="5"/>
    <x v="0"/>
    <s v="Professional"/>
    <s v="Yes"/>
    <n v="1"/>
    <x v="2"/>
    <x v="1"/>
    <x v="15"/>
    <x v="0"/>
    <x v="1"/>
  </r>
  <r>
    <n v="19626"/>
    <x v="0"/>
    <x v="1"/>
    <n v="70000"/>
    <n v="5"/>
    <x v="1"/>
    <s v="Skilled Manual"/>
    <s v="Yes"/>
    <n v="3"/>
    <x v="2"/>
    <x v="1"/>
    <x v="12"/>
    <x v="0"/>
    <x v="0"/>
  </r>
  <r>
    <n v="21039"/>
    <x v="2"/>
    <x v="0"/>
    <n v="50000"/>
    <n v="0"/>
    <x v="4"/>
    <s v="Skilled Manual"/>
    <s v="No"/>
    <n v="0"/>
    <x v="0"/>
    <x v="0"/>
    <x v="34"/>
    <x v="0"/>
    <x v="1"/>
  </r>
  <r>
    <n v="12231"/>
    <x v="2"/>
    <x v="0"/>
    <n v="10000"/>
    <n v="2"/>
    <x v="1"/>
    <s v="Manual"/>
    <s v="Yes"/>
    <n v="0"/>
    <x v="0"/>
    <x v="0"/>
    <x v="36"/>
    <x v="0"/>
    <x v="1"/>
  </r>
  <r>
    <n v="25665"/>
    <x v="2"/>
    <x v="0"/>
    <n v="20000"/>
    <n v="0"/>
    <x v="2"/>
    <s v="Manual"/>
    <s v="No"/>
    <n v="1"/>
    <x v="3"/>
    <x v="0"/>
    <x v="26"/>
    <x v="2"/>
    <x v="0"/>
  </r>
  <r>
    <n v="24061"/>
    <x v="0"/>
    <x v="1"/>
    <n v="10000"/>
    <n v="4"/>
    <x v="3"/>
    <s v="Manual"/>
    <s v="Yes"/>
    <n v="1"/>
    <x v="0"/>
    <x v="0"/>
    <x v="8"/>
    <x v="0"/>
    <x v="1"/>
  </r>
  <r>
    <n v="26879"/>
    <x v="2"/>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2"/>
    <x v="1"/>
    <n v="30000"/>
    <n v="1"/>
    <x v="0"/>
    <s v="Clerical"/>
    <s v="No"/>
    <n v="0"/>
    <x v="0"/>
    <x v="0"/>
    <x v="13"/>
    <x v="0"/>
    <x v="1"/>
  </r>
  <r>
    <n v="14804"/>
    <x v="2"/>
    <x v="0"/>
    <n v="10000"/>
    <n v="3"/>
    <x v="3"/>
    <s v="Manual"/>
    <s v="Yes"/>
    <n v="2"/>
    <x v="0"/>
    <x v="0"/>
    <x v="1"/>
    <x v="0"/>
    <x v="0"/>
  </r>
  <r>
    <n v="12629"/>
    <x v="2"/>
    <x v="1"/>
    <n v="20000"/>
    <n v="1"/>
    <x v="1"/>
    <s v="Manual"/>
    <s v="No"/>
    <n v="0"/>
    <x v="0"/>
    <x v="0"/>
    <x v="34"/>
    <x v="0"/>
    <x v="0"/>
  </r>
  <r>
    <n v="14696"/>
    <x v="2"/>
    <x v="1"/>
    <n v="10000"/>
    <n v="0"/>
    <x v="3"/>
    <s v="Manual"/>
    <s v="No"/>
    <n v="2"/>
    <x v="0"/>
    <x v="0"/>
    <x v="17"/>
    <x v="0"/>
    <x v="0"/>
  </r>
  <r>
    <n v="22005"/>
    <x v="0"/>
    <x v="0"/>
    <n v="70000"/>
    <n v="5"/>
    <x v="1"/>
    <s v="Skilled Manual"/>
    <s v="No"/>
    <n v="3"/>
    <x v="2"/>
    <x v="1"/>
    <x v="30"/>
    <x v="0"/>
    <x v="0"/>
  </r>
  <r>
    <n v="14544"/>
    <x v="2"/>
    <x v="1"/>
    <n v="10000"/>
    <n v="1"/>
    <x v="1"/>
    <s v="Manual"/>
    <s v="Yes"/>
    <n v="0"/>
    <x v="0"/>
    <x v="0"/>
    <x v="38"/>
    <x v="0"/>
    <x v="0"/>
  </r>
  <r>
    <n v="14312"/>
    <x v="0"/>
    <x v="0"/>
    <n v="60000"/>
    <n v="1"/>
    <x v="1"/>
    <s v="Skilled Manual"/>
    <s v="Yes"/>
    <n v="1"/>
    <x v="2"/>
    <x v="1"/>
    <x v="12"/>
    <x v="0"/>
    <x v="0"/>
  </r>
  <r>
    <n v="29120"/>
    <x v="2"/>
    <x v="0"/>
    <n v="100000"/>
    <n v="1"/>
    <x v="0"/>
    <s v="Management"/>
    <s v="Yes"/>
    <n v="4"/>
    <x v="1"/>
    <x v="1"/>
    <x v="28"/>
    <x v="0"/>
    <x v="0"/>
  </r>
  <r>
    <n v="24187"/>
    <x v="2"/>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2"/>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2"/>
    <x v="0"/>
    <n v="10000"/>
    <n v="1"/>
    <x v="2"/>
    <s v="Manual"/>
    <s v="No"/>
    <n v="1"/>
    <x v="1"/>
    <x v="0"/>
    <x v="30"/>
    <x v="0"/>
    <x v="1"/>
  </r>
  <r>
    <n v="20851"/>
    <x v="2"/>
    <x v="1"/>
    <n v="20000"/>
    <n v="0"/>
    <x v="1"/>
    <s v="Manual"/>
    <s v="No"/>
    <n v="1"/>
    <x v="1"/>
    <x v="0"/>
    <x v="4"/>
    <x v="0"/>
    <x v="1"/>
  </r>
  <r>
    <n v="21557"/>
    <x v="2"/>
    <x v="0"/>
    <n v="110000"/>
    <n v="0"/>
    <x v="1"/>
    <s v="Management"/>
    <s v="Yes"/>
    <n v="3"/>
    <x v="4"/>
    <x v="1"/>
    <x v="21"/>
    <x v="0"/>
    <x v="1"/>
  </r>
  <r>
    <n v="26663"/>
    <x v="2"/>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2"/>
    <x v="0"/>
    <n v="10000"/>
    <n v="5"/>
    <x v="2"/>
    <s v="Skilled Manual"/>
    <s v="No"/>
    <n v="2"/>
    <x v="3"/>
    <x v="1"/>
    <x v="24"/>
    <x v="1"/>
    <x v="0"/>
  </r>
  <r>
    <n v="17926"/>
    <x v="2"/>
    <x v="0"/>
    <n v="40000"/>
    <n v="0"/>
    <x v="0"/>
    <s v="Clerical"/>
    <s v="No"/>
    <n v="0"/>
    <x v="0"/>
    <x v="1"/>
    <x v="26"/>
    <x v="2"/>
    <x v="1"/>
  </r>
  <r>
    <n v="26928"/>
    <x v="2"/>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2"/>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2"/>
    <x v="1"/>
    <n v="40000"/>
    <n v="3"/>
    <x v="3"/>
    <s v="Clerical"/>
    <s v="No"/>
    <n v="2"/>
    <x v="2"/>
    <x v="1"/>
    <x v="31"/>
    <x v="0"/>
    <x v="1"/>
  </r>
  <r>
    <n v="18740"/>
    <x v="0"/>
    <x v="1"/>
    <n v="80000"/>
    <n v="5"/>
    <x v="0"/>
    <s v="Professional"/>
    <s v="No"/>
    <n v="1"/>
    <x v="0"/>
    <x v="1"/>
    <x v="15"/>
    <x v="0"/>
    <x v="1"/>
  </r>
  <r>
    <n v="21213"/>
    <x v="2"/>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2"/>
    <x v="0"/>
    <n v="160000"/>
    <n v="0"/>
    <x v="4"/>
    <s v="Management"/>
    <s v="No"/>
    <n v="3"/>
    <x v="0"/>
    <x v="1"/>
    <x v="15"/>
    <x v="0"/>
    <x v="1"/>
  </r>
  <r>
    <n v="16410"/>
    <x v="2"/>
    <x v="0"/>
    <n v="10000"/>
    <n v="4"/>
    <x v="3"/>
    <s v="Manual"/>
    <s v="Yes"/>
    <n v="2"/>
    <x v="0"/>
    <x v="0"/>
    <x v="3"/>
    <x v="0"/>
    <x v="1"/>
  </r>
  <r>
    <n v="27760"/>
    <x v="2"/>
    <x v="0"/>
    <n v="40000"/>
    <n v="0"/>
    <x v="4"/>
    <s v="Clerical"/>
    <s v="No"/>
    <n v="0"/>
    <x v="0"/>
    <x v="0"/>
    <x v="34"/>
    <x v="0"/>
    <x v="1"/>
  </r>
  <r>
    <n v="22930"/>
    <x v="0"/>
    <x v="1"/>
    <n v="90000"/>
    <n v="4"/>
    <x v="0"/>
    <s v="Professional"/>
    <s v="Yes"/>
    <n v="0"/>
    <x v="3"/>
    <x v="1"/>
    <x v="13"/>
    <x v="0"/>
    <x v="1"/>
  </r>
  <r>
    <n v="23780"/>
    <x v="2"/>
    <x v="1"/>
    <n v="40000"/>
    <n v="2"/>
    <x v="1"/>
    <s v="Clerical"/>
    <s v="No"/>
    <n v="2"/>
    <x v="0"/>
    <x v="0"/>
    <x v="4"/>
    <x v="0"/>
    <x v="1"/>
  </r>
  <r>
    <n v="20994"/>
    <x v="0"/>
    <x v="0"/>
    <n v="20000"/>
    <n v="0"/>
    <x v="0"/>
    <s v="Clerical"/>
    <s v="No"/>
    <n v="0"/>
    <x v="0"/>
    <x v="1"/>
    <x v="22"/>
    <x v="2"/>
    <x v="1"/>
  </r>
  <r>
    <n v="28379"/>
    <x v="0"/>
    <x v="1"/>
    <n v="30000"/>
    <n v="1"/>
    <x v="0"/>
    <s v="Skilled Manual"/>
    <s v="Yes"/>
    <n v="2"/>
    <x v="0"/>
    <x v="0"/>
    <x v="8"/>
    <x v="0"/>
    <x v="0"/>
  </r>
  <r>
    <n v="14865"/>
    <x v="2"/>
    <x v="1"/>
    <n v="40000"/>
    <n v="2"/>
    <x v="1"/>
    <s v="Clerical"/>
    <s v="Yes"/>
    <n v="2"/>
    <x v="3"/>
    <x v="0"/>
    <x v="4"/>
    <x v="0"/>
    <x v="0"/>
  </r>
  <r>
    <n v="12663"/>
    <x v="0"/>
    <x v="0"/>
    <n v="90000"/>
    <n v="5"/>
    <x v="3"/>
    <s v="Skilled Manual"/>
    <s v="Yes"/>
    <n v="2"/>
    <x v="4"/>
    <x v="0"/>
    <x v="14"/>
    <x v="1"/>
    <x v="0"/>
  </r>
  <r>
    <n v="24898"/>
    <x v="2"/>
    <x v="0"/>
    <n v="80000"/>
    <n v="0"/>
    <x v="0"/>
    <s v="Professional"/>
    <s v="Yes"/>
    <n v="3"/>
    <x v="4"/>
    <x v="1"/>
    <x v="21"/>
    <x v="0"/>
    <x v="0"/>
  </r>
  <r>
    <n v="19508"/>
    <x v="0"/>
    <x v="1"/>
    <n v="10000"/>
    <n v="0"/>
    <x v="3"/>
    <s v="Manual"/>
    <s v="No"/>
    <n v="2"/>
    <x v="0"/>
    <x v="0"/>
    <x v="25"/>
    <x v="2"/>
    <x v="0"/>
  </r>
  <r>
    <n v="11489"/>
    <x v="2"/>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2"/>
    <x v="1"/>
    <n v="20000"/>
    <n v="0"/>
    <x v="3"/>
    <s v="Manual"/>
    <s v="No"/>
    <n v="2"/>
    <x v="0"/>
    <x v="0"/>
    <x v="17"/>
    <x v="0"/>
    <x v="0"/>
  </r>
  <r>
    <n v="29424"/>
    <x v="0"/>
    <x v="1"/>
    <n v="10000"/>
    <n v="0"/>
    <x v="3"/>
    <s v="Manual"/>
    <s v="Yes"/>
    <n v="2"/>
    <x v="0"/>
    <x v="0"/>
    <x v="21"/>
    <x v="0"/>
    <x v="0"/>
  </r>
  <r>
    <n v="15926"/>
    <x v="2"/>
    <x v="0"/>
    <n v="120000"/>
    <n v="3"/>
    <x v="2"/>
    <s v="Professional"/>
    <s v="Yes"/>
    <n v="4"/>
    <x v="2"/>
    <x v="0"/>
    <x v="5"/>
    <x v="0"/>
    <x v="1"/>
  </r>
  <r>
    <n v="14554"/>
    <x v="0"/>
    <x v="1"/>
    <n v="20000"/>
    <n v="1"/>
    <x v="0"/>
    <s v="Clerical"/>
    <s v="Yes"/>
    <n v="0"/>
    <x v="0"/>
    <x v="0"/>
    <x v="29"/>
    <x v="1"/>
    <x v="0"/>
  </r>
  <r>
    <n v="16468"/>
    <x v="2"/>
    <x v="1"/>
    <n v="30000"/>
    <n v="0"/>
    <x v="1"/>
    <s v="Clerical"/>
    <s v="Yes"/>
    <n v="1"/>
    <x v="1"/>
    <x v="0"/>
    <x v="25"/>
    <x v="2"/>
    <x v="0"/>
  </r>
  <r>
    <n v="19174"/>
    <x v="2"/>
    <x v="0"/>
    <n v="30000"/>
    <n v="0"/>
    <x v="2"/>
    <s v="Manual"/>
    <s v="No"/>
    <n v="1"/>
    <x v="1"/>
    <x v="0"/>
    <x v="21"/>
    <x v="0"/>
    <x v="1"/>
  </r>
  <r>
    <n v="19183"/>
    <x v="2"/>
    <x v="1"/>
    <n v="10000"/>
    <n v="0"/>
    <x v="3"/>
    <s v="Manual"/>
    <s v="Yes"/>
    <n v="2"/>
    <x v="3"/>
    <x v="0"/>
    <x v="11"/>
    <x v="0"/>
    <x v="0"/>
  </r>
  <r>
    <n v="13683"/>
    <x v="2"/>
    <x v="0"/>
    <n v="30000"/>
    <n v="0"/>
    <x v="2"/>
    <s v="Manual"/>
    <s v="No"/>
    <n v="1"/>
    <x v="1"/>
    <x v="0"/>
    <x v="21"/>
    <x v="0"/>
    <x v="0"/>
  </r>
  <r>
    <n v="17848"/>
    <x v="2"/>
    <x v="1"/>
    <n v="30000"/>
    <n v="0"/>
    <x v="1"/>
    <s v="Clerical"/>
    <s v="No"/>
    <n v="1"/>
    <x v="1"/>
    <x v="0"/>
    <x v="23"/>
    <x v="0"/>
    <x v="1"/>
  </r>
  <r>
    <n v="17894"/>
    <x v="0"/>
    <x v="0"/>
    <n v="20000"/>
    <n v="1"/>
    <x v="0"/>
    <s v="Clerical"/>
    <s v="Yes"/>
    <n v="0"/>
    <x v="0"/>
    <x v="0"/>
    <x v="5"/>
    <x v="0"/>
    <x v="1"/>
  </r>
  <r>
    <n v="25651"/>
    <x v="0"/>
    <x v="1"/>
    <n v="40000"/>
    <n v="1"/>
    <x v="0"/>
    <s v="Skilled Manual"/>
    <s v="No"/>
    <n v="0"/>
    <x v="0"/>
    <x v="0"/>
    <x v="1"/>
    <x v="0"/>
    <x v="1"/>
  </r>
  <r>
    <n v="22936"/>
    <x v="2"/>
    <x v="0"/>
    <n v="60000"/>
    <n v="1"/>
    <x v="1"/>
    <s v="Skilled Manual"/>
    <s v="No"/>
    <n v="1"/>
    <x v="0"/>
    <x v="1"/>
    <x v="12"/>
    <x v="0"/>
    <x v="1"/>
  </r>
  <r>
    <n v="23915"/>
    <x v="0"/>
    <x v="1"/>
    <n v="20000"/>
    <n v="2"/>
    <x v="2"/>
    <s v="Manual"/>
    <s v="Yes"/>
    <n v="2"/>
    <x v="0"/>
    <x v="0"/>
    <x v="0"/>
    <x v="0"/>
    <x v="0"/>
  </r>
  <r>
    <n v="24121"/>
    <x v="2"/>
    <x v="0"/>
    <n v="30000"/>
    <n v="0"/>
    <x v="1"/>
    <s v="Clerical"/>
    <s v="No"/>
    <n v="1"/>
    <x v="0"/>
    <x v="0"/>
    <x v="19"/>
    <x v="2"/>
    <x v="1"/>
  </r>
  <r>
    <n v="27878"/>
    <x v="2"/>
    <x v="1"/>
    <n v="20000"/>
    <n v="0"/>
    <x v="1"/>
    <s v="Manual"/>
    <s v="No"/>
    <n v="0"/>
    <x v="0"/>
    <x v="1"/>
    <x v="26"/>
    <x v="2"/>
    <x v="1"/>
  </r>
  <r>
    <n v="13572"/>
    <x v="2"/>
    <x v="1"/>
    <n v="10000"/>
    <n v="3"/>
    <x v="2"/>
    <s v="Manual"/>
    <s v="Yes"/>
    <n v="0"/>
    <x v="0"/>
    <x v="0"/>
    <x v="34"/>
    <x v="0"/>
    <x v="1"/>
  </r>
  <r>
    <n v="27941"/>
    <x v="0"/>
    <x v="0"/>
    <n v="80000"/>
    <n v="4"/>
    <x v="1"/>
    <s v="Professional"/>
    <s v="Yes"/>
    <n v="2"/>
    <x v="1"/>
    <x v="0"/>
    <x v="39"/>
    <x v="0"/>
    <x v="0"/>
  </r>
  <r>
    <n v="26354"/>
    <x v="2"/>
    <x v="1"/>
    <n v="40000"/>
    <n v="0"/>
    <x v="4"/>
    <s v="Clerical"/>
    <s v="No"/>
    <n v="0"/>
    <x v="0"/>
    <x v="0"/>
    <x v="13"/>
    <x v="0"/>
    <x v="1"/>
  </r>
  <r>
    <n v="14785"/>
    <x v="2"/>
    <x v="1"/>
    <n v="30000"/>
    <n v="1"/>
    <x v="0"/>
    <s v="Clerical"/>
    <s v="No"/>
    <n v="1"/>
    <x v="3"/>
    <x v="0"/>
    <x v="32"/>
    <x v="0"/>
    <x v="0"/>
  </r>
  <r>
    <n v="17238"/>
    <x v="2"/>
    <x v="1"/>
    <n v="80000"/>
    <n v="0"/>
    <x v="0"/>
    <s v="Professional"/>
    <s v="Yes"/>
    <n v="3"/>
    <x v="4"/>
    <x v="1"/>
    <x v="21"/>
    <x v="0"/>
    <x v="0"/>
  </r>
  <r>
    <n v="23608"/>
    <x v="0"/>
    <x v="0"/>
    <n v="150000"/>
    <n v="3"/>
    <x v="2"/>
    <s v="Professional"/>
    <s v="Yes"/>
    <n v="3"/>
    <x v="0"/>
    <x v="0"/>
    <x v="36"/>
    <x v="0"/>
    <x v="1"/>
  </r>
  <r>
    <n v="22538"/>
    <x v="2"/>
    <x v="0"/>
    <n v="10000"/>
    <n v="0"/>
    <x v="3"/>
    <s v="Manual"/>
    <s v="Yes"/>
    <n v="2"/>
    <x v="3"/>
    <x v="0"/>
    <x v="6"/>
    <x v="0"/>
    <x v="0"/>
  </r>
  <r>
    <n v="12332"/>
    <x v="0"/>
    <x v="1"/>
    <n v="90000"/>
    <n v="4"/>
    <x v="2"/>
    <s v="Management"/>
    <s v="Yes"/>
    <n v="3"/>
    <x v="2"/>
    <x v="0"/>
    <x v="7"/>
    <x v="1"/>
    <x v="1"/>
  </r>
  <r>
    <n v="17230"/>
    <x v="0"/>
    <x v="1"/>
    <n v="80000"/>
    <n v="0"/>
    <x v="0"/>
    <s v="Professional"/>
    <s v="Yes"/>
    <n v="3"/>
    <x v="4"/>
    <x v="1"/>
    <x v="25"/>
    <x v="2"/>
    <x v="0"/>
  </r>
  <r>
    <n v="13082"/>
    <x v="2"/>
    <x v="1"/>
    <n v="130000"/>
    <n v="0"/>
    <x v="4"/>
    <s v="Management"/>
    <s v="Yes"/>
    <n v="0"/>
    <x v="1"/>
    <x v="1"/>
    <x v="28"/>
    <x v="0"/>
    <x v="1"/>
  </r>
  <r>
    <n v="22518"/>
    <x v="2"/>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2"/>
    <x v="0"/>
    <n v="10000"/>
    <n v="2"/>
    <x v="2"/>
    <s v="Manual"/>
    <s v="Yes"/>
    <n v="1"/>
    <x v="0"/>
    <x v="0"/>
    <x v="13"/>
    <x v="0"/>
    <x v="1"/>
  </r>
  <r>
    <n v="22636"/>
    <x v="2"/>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2"/>
    <x v="0"/>
    <n v="30000"/>
    <n v="2"/>
    <x v="1"/>
    <s v="Clerical"/>
    <s v="No"/>
    <n v="2"/>
    <x v="2"/>
    <x v="1"/>
    <x v="2"/>
    <x v="1"/>
    <x v="1"/>
  </r>
  <r>
    <n v="25752"/>
    <x v="2"/>
    <x v="0"/>
    <n v="20000"/>
    <n v="2"/>
    <x v="1"/>
    <s v="Manual"/>
    <s v="No"/>
    <n v="1"/>
    <x v="0"/>
    <x v="0"/>
    <x v="39"/>
    <x v="0"/>
    <x v="1"/>
  </r>
  <r>
    <n v="17324"/>
    <x v="0"/>
    <x v="0"/>
    <n v="100000"/>
    <n v="4"/>
    <x v="0"/>
    <s v="Professional"/>
    <s v="Yes"/>
    <n v="1"/>
    <x v="4"/>
    <x v="1"/>
    <x v="30"/>
    <x v="0"/>
    <x v="0"/>
  </r>
  <r>
    <n v="22918"/>
    <x v="2"/>
    <x v="1"/>
    <n v="80000"/>
    <n v="5"/>
    <x v="4"/>
    <s v="Management"/>
    <s v="Yes"/>
    <n v="3"/>
    <x v="0"/>
    <x v="1"/>
    <x v="5"/>
    <x v="0"/>
    <x v="0"/>
  </r>
  <r>
    <n v="12510"/>
    <x v="0"/>
    <x v="1"/>
    <n v="40000"/>
    <n v="1"/>
    <x v="0"/>
    <s v="Skilled Manual"/>
    <s v="Yes"/>
    <n v="1"/>
    <x v="0"/>
    <x v="0"/>
    <x v="1"/>
    <x v="0"/>
    <x v="1"/>
  </r>
  <r>
    <n v="25512"/>
    <x v="2"/>
    <x v="1"/>
    <n v="20000"/>
    <n v="0"/>
    <x v="2"/>
    <s v="Manual"/>
    <s v="No"/>
    <n v="1"/>
    <x v="1"/>
    <x v="0"/>
    <x v="25"/>
    <x v="2"/>
    <x v="0"/>
  </r>
  <r>
    <n v="16179"/>
    <x v="2"/>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2"/>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2"/>
    <x v="0"/>
    <n v="10000"/>
    <n v="0"/>
    <x v="1"/>
    <s v="Manual"/>
    <s v="No"/>
    <n v="1"/>
    <x v="0"/>
    <x v="1"/>
    <x v="26"/>
    <x v="2"/>
    <x v="1"/>
  </r>
  <r>
    <n v="18018"/>
    <x v="2"/>
    <x v="1"/>
    <n v="30000"/>
    <n v="3"/>
    <x v="1"/>
    <s v="Clerical"/>
    <s v="Yes"/>
    <n v="0"/>
    <x v="0"/>
    <x v="0"/>
    <x v="1"/>
    <x v="0"/>
    <x v="0"/>
  </r>
  <r>
    <n v="28957"/>
    <x v="2"/>
    <x v="0"/>
    <n v="120000"/>
    <n v="0"/>
    <x v="3"/>
    <s v="Professional"/>
    <s v="Yes"/>
    <n v="4"/>
    <x v="4"/>
    <x v="1"/>
    <x v="17"/>
    <x v="0"/>
    <x v="1"/>
  </r>
  <r>
    <n v="13690"/>
    <x v="2"/>
    <x v="0"/>
    <n v="20000"/>
    <n v="0"/>
    <x v="3"/>
    <s v="Manual"/>
    <s v="No"/>
    <n v="2"/>
    <x v="3"/>
    <x v="0"/>
    <x v="17"/>
    <x v="0"/>
    <x v="1"/>
  </r>
  <r>
    <n v="12568"/>
    <x v="0"/>
    <x v="0"/>
    <n v="30000"/>
    <n v="1"/>
    <x v="0"/>
    <s v="Clerical"/>
    <s v="Yes"/>
    <n v="0"/>
    <x v="0"/>
    <x v="0"/>
    <x v="46"/>
    <x v="1"/>
    <x v="0"/>
  </r>
  <r>
    <n v="13122"/>
    <x v="0"/>
    <x v="0"/>
    <n v="80000"/>
    <n v="0"/>
    <x v="0"/>
    <s v="Professional"/>
    <s v="Yes"/>
    <n v="1"/>
    <x v="3"/>
    <x v="1"/>
    <x v="3"/>
    <x v="0"/>
    <x v="1"/>
  </r>
  <r>
    <n v="21184"/>
    <x v="2"/>
    <x v="1"/>
    <n v="70000"/>
    <n v="0"/>
    <x v="0"/>
    <s v="Professional"/>
    <s v="No"/>
    <n v="1"/>
    <x v="2"/>
    <x v="1"/>
    <x v="13"/>
    <x v="0"/>
    <x v="0"/>
  </r>
  <r>
    <n v="26150"/>
    <x v="2"/>
    <x v="0"/>
    <n v="70000"/>
    <n v="0"/>
    <x v="0"/>
    <s v="Professional"/>
    <s v="No"/>
    <n v="1"/>
    <x v="0"/>
    <x v="1"/>
    <x v="3"/>
    <x v="0"/>
    <x v="1"/>
  </r>
  <r>
    <n v="24151"/>
    <x v="2"/>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2"/>
    <x v="1"/>
    <n v="60000"/>
    <n v="2"/>
    <x v="0"/>
    <s v="Professional"/>
    <s v="Yes"/>
    <n v="1"/>
    <x v="1"/>
    <x v="1"/>
    <x v="13"/>
    <x v="0"/>
    <x v="1"/>
  </r>
  <r>
    <n v="21365"/>
    <x v="0"/>
    <x v="0"/>
    <n v="10000"/>
    <n v="2"/>
    <x v="3"/>
    <s v="Clerical"/>
    <s v="Yes"/>
    <n v="2"/>
    <x v="2"/>
    <x v="1"/>
    <x v="7"/>
    <x v="1"/>
    <x v="0"/>
  </r>
  <r>
    <n v="27771"/>
    <x v="2"/>
    <x v="1"/>
    <n v="30000"/>
    <n v="1"/>
    <x v="0"/>
    <s v="Clerical"/>
    <s v="Yes"/>
    <n v="1"/>
    <x v="3"/>
    <x v="0"/>
    <x v="32"/>
    <x v="0"/>
    <x v="1"/>
  </r>
  <r>
    <n v="26167"/>
    <x v="2"/>
    <x v="0"/>
    <n v="40000"/>
    <n v="2"/>
    <x v="0"/>
    <s v="Management"/>
    <s v="No"/>
    <n v="1"/>
    <x v="2"/>
    <x v="1"/>
    <x v="39"/>
    <x v="0"/>
    <x v="1"/>
  </r>
  <r>
    <n v="25792"/>
    <x v="2"/>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2"/>
    <x v="0"/>
    <n v="90000"/>
    <n v="2"/>
    <x v="0"/>
    <s v="Professional"/>
    <s v="No"/>
    <n v="0"/>
    <x v="0"/>
    <x v="1"/>
    <x v="4"/>
    <x v="0"/>
    <x v="1"/>
  </r>
  <r>
    <n v="12744"/>
    <x v="2"/>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2"/>
    <x v="1"/>
    <n v="40000"/>
    <n v="2"/>
    <x v="1"/>
    <s v="Clerical"/>
    <s v="Yes"/>
    <n v="0"/>
    <x v="0"/>
    <x v="0"/>
    <x v="17"/>
    <x v="0"/>
    <x v="0"/>
  </r>
  <r>
    <n v="25266"/>
    <x v="2"/>
    <x v="0"/>
    <n v="30000"/>
    <n v="2"/>
    <x v="1"/>
    <s v="Clerical"/>
    <s v="No"/>
    <n v="2"/>
    <x v="2"/>
    <x v="1"/>
    <x v="41"/>
    <x v="1"/>
    <x v="0"/>
  </r>
  <r>
    <n v="17960"/>
    <x v="0"/>
    <x v="0"/>
    <n v="40000"/>
    <n v="0"/>
    <x v="4"/>
    <s v="Clerical"/>
    <s v="Yes"/>
    <n v="0"/>
    <x v="0"/>
    <x v="0"/>
    <x v="11"/>
    <x v="0"/>
    <x v="1"/>
  </r>
  <r>
    <n v="13961"/>
    <x v="0"/>
    <x v="0"/>
    <n v="80000"/>
    <n v="5"/>
    <x v="4"/>
    <s v="Management"/>
    <s v="Yes"/>
    <n v="3"/>
    <x v="0"/>
    <x v="1"/>
    <x v="8"/>
    <x v="0"/>
    <x v="0"/>
  </r>
  <r>
    <n v="11897"/>
    <x v="2"/>
    <x v="1"/>
    <n v="60000"/>
    <n v="2"/>
    <x v="0"/>
    <s v="Professional"/>
    <s v="No"/>
    <n v="1"/>
    <x v="0"/>
    <x v="1"/>
    <x v="34"/>
    <x v="0"/>
    <x v="1"/>
  </r>
  <r>
    <n v="11139"/>
    <x v="2"/>
    <x v="0"/>
    <n v="30000"/>
    <n v="2"/>
    <x v="1"/>
    <s v="Clerical"/>
    <s v="No"/>
    <n v="2"/>
    <x v="2"/>
    <x v="1"/>
    <x v="41"/>
    <x v="1"/>
    <x v="0"/>
  </r>
  <r>
    <n v="11576"/>
    <x v="0"/>
    <x v="1"/>
    <n v="30000"/>
    <n v="1"/>
    <x v="0"/>
    <s v="Skilled Manual"/>
    <s v="Yes"/>
    <n v="2"/>
    <x v="0"/>
    <x v="0"/>
    <x v="3"/>
    <x v="0"/>
    <x v="1"/>
  </r>
  <r>
    <n v="19255"/>
    <x v="2"/>
    <x v="1"/>
    <n v="10000"/>
    <n v="2"/>
    <x v="1"/>
    <s v="Manual"/>
    <s v="Yes"/>
    <n v="1"/>
    <x v="0"/>
    <x v="0"/>
    <x v="36"/>
    <x v="0"/>
    <x v="1"/>
  </r>
  <r>
    <n v="18153"/>
    <x v="0"/>
    <x v="0"/>
    <n v="100000"/>
    <n v="2"/>
    <x v="0"/>
    <s v="Management"/>
    <s v="Yes"/>
    <n v="4"/>
    <x v="4"/>
    <x v="0"/>
    <x v="14"/>
    <x v="1"/>
    <x v="0"/>
  </r>
  <r>
    <n v="14547"/>
    <x v="0"/>
    <x v="1"/>
    <n v="10000"/>
    <n v="2"/>
    <x v="1"/>
    <s v="Manual"/>
    <s v="Yes"/>
    <n v="0"/>
    <x v="3"/>
    <x v="0"/>
    <x v="36"/>
    <x v="0"/>
    <x v="0"/>
  </r>
  <r>
    <n v="24901"/>
    <x v="2"/>
    <x v="1"/>
    <n v="110000"/>
    <n v="0"/>
    <x v="1"/>
    <s v="Management"/>
    <s v="No"/>
    <n v="3"/>
    <x v="4"/>
    <x v="1"/>
    <x v="21"/>
    <x v="0"/>
    <x v="1"/>
  </r>
  <r>
    <n v="27169"/>
    <x v="2"/>
    <x v="1"/>
    <n v="30000"/>
    <n v="0"/>
    <x v="2"/>
    <s v="Manual"/>
    <s v="Yes"/>
    <n v="1"/>
    <x v="1"/>
    <x v="0"/>
    <x v="17"/>
    <x v="0"/>
    <x v="1"/>
  </r>
  <r>
    <n v="14805"/>
    <x v="2"/>
    <x v="0"/>
    <n v="10000"/>
    <n v="3"/>
    <x v="3"/>
    <s v="Manual"/>
    <s v="Yes"/>
    <n v="2"/>
    <x v="0"/>
    <x v="0"/>
    <x v="1"/>
    <x v="0"/>
    <x v="0"/>
  </r>
  <r>
    <n v="15822"/>
    <x v="0"/>
    <x v="1"/>
    <n v="40000"/>
    <n v="2"/>
    <x v="0"/>
    <s v="Management"/>
    <s v="Yes"/>
    <n v="2"/>
    <x v="0"/>
    <x v="1"/>
    <x v="41"/>
    <x v="1"/>
    <x v="0"/>
  </r>
  <r>
    <n v="19389"/>
    <x v="2"/>
    <x v="1"/>
    <n v="30000"/>
    <n v="0"/>
    <x v="1"/>
    <s v="Clerical"/>
    <s v="No"/>
    <n v="1"/>
    <x v="1"/>
    <x v="0"/>
    <x v="26"/>
    <x v="2"/>
    <x v="0"/>
  </r>
  <r>
    <n v="17048"/>
    <x v="2"/>
    <x v="0"/>
    <n v="90000"/>
    <n v="1"/>
    <x v="4"/>
    <s v="Management"/>
    <s v="Yes"/>
    <n v="0"/>
    <x v="0"/>
    <x v="1"/>
    <x v="4"/>
    <x v="0"/>
    <x v="1"/>
  </r>
  <r>
    <n v="22204"/>
    <x v="0"/>
    <x v="1"/>
    <n v="110000"/>
    <n v="4"/>
    <x v="0"/>
    <s v="Management"/>
    <s v="Yes"/>
    <n v="3"/>
    <x v="1"/>
    <x v="1"/>
    <x v="28"/>
    <x v="0"/>
    <x v="0"/>
  </r>
  <r>
    <n v="12718"/>
    <x v="2"/>
    <x v="0"/>
    <n v="30000"/>
    <n v="0"/>
    <x v="1"/>
    <s v="Clerical"/>
    <s v="Yes"/>
    <n v="1"/>
    <x v="1"/>
    <x v="0"/>
    <x v="23"/>
    <x v="0"/>
    <x v="0"/>
  </r>
  <r>
    <n v="15019"/>
    <x v="2"/>
    <x v="0"/>
    <n v="30000"/>
    <n v="3"/>
    <x v="2"/>
    <s v="Skilled Manual"/>
    <s v="Yes"/>
    <n v="2"/>
    <x v="2"/>
    <x v="1"/>
    <x v="10"/>
    <x v="0"/>
    <x v="0"/>
  </r>
  <r>
    <n v="28488"/>
    <x v="2"/>
    <x v="1"/>
    <n v="20000"/>
    <n v="0"/>
    <x v="1"/>
    <s v="Manual"/>
    <s v="Yes"/>
    <n v="0"/>
    <x v="0"/>
    <x v="1"/>
    <x v="26"/>
    <x v="2"/>
    <x v="1"/>
  </r>
  <r>
    <n v="21891"/>
    <x v="0"/>
    <x v="0"/>
    <n v="110000"/>
    <n v="0"/>
    <x v="2"/>
    <s v="Management"/>
    <s v="Yes"/>
    <n v="3"/>
    <x v="4"/>
    <x v="1"/>
    <x v="17"/>
    <x v="0"/>
    <x v="1"/>
  </r>
  <r>
    <n v="27814"/>
    <x v="2"/>
    <x v="0"/>
    <n v="30000"/>
    <n v="3"/>
    <x v="1"/>
    <s v="Clerical"/>
    <s v="No"/>
    <n v="1"/>
    <x v="0"/>
    <x v="0"/>
    <x v="22"/>
    <x v="2"/>
    <x v="0"/>
  </r>
  <r>
    <n v="22175"/>
    <x v="0"/>
    <x v="0"/>
    <n v="30000"/>
    <n v="3"/>
    <x v="2"/>
    <s v="Skilled Manual"/>
    <s v="Yes"/>
    <n v="2"/>
    <x v="2"/>
    <x v="1"/>
    <x v="39"/>
    <x v="0"/>
    <x v="1"/>
  </r>
  <r>
    <n v="29447"/>
    <x v="2"/>
    <x v="0"/>
    <n v="10000"/>
    <n v="2"/>
    <x v="0"/>
    <s v="Clerical"/>
    <s v="No"/>
    <n v="1"/>
    <x v="1"/>
    <x v="0"/>
    <x v="35"/>
    <x v="1"/>
    <x v="0"/>
  </r>
  <r>
    <n v="19784"/>
    <x v="0"/>
    <x v="0"/>
    <n v="80000"/>
    <n v="2"/>
    <x v="2"/>
    <s v="Skilled Manual"/>
    <s v="Yes"/>
    <n v="2"/>
    <x v="2"/>
    <x v="1"/>
    <x v="5"/>
    <x v="0"/>
    <x v="1"/>
  </r>
  <r>
    <n v="27824"/>
    <x v="2"/>
    <x v="0"/>
    <n v="30000"/>
    <n v="3"/>
    <x v="1"/>
    <s v="Clerical"/>
    <s v="Yes"/>
    <n v="2"/>
    <x v="0"/>
    <x v="0"/>
    <x v="26"/>
    <x v="2"/>
    <x v="1"/>
  </r>
  <r>
    <n v="24093"/>
    <x v="2"/>
    <x v="0"/>
    <n v="80000"/>
    <n v="0"/>
    <x v="4"/>
    <s v="Skilled Manual"/>
    <s v="No"/>
    <n v="0"/>
    <x v="0"/>
    <x v="0"/>
    <x v="8"/>
    <x v="0"/>
    <x v="1"/>
  </r>
  <r>
    <n v="19618"/>
    <x v="0"/>
    <x v="1"/>
    <n v="70000"/>
    <n v="5"/>
    <x v="1"/>
    <s v="Skilled Manual"/>
    <s v="Yes"/>
    <n v="2"/>
    <x v="0"/>
    <x v="1"/>
    <x v="20"/>
    <x v="0"/>
    <x v="0"/>
  </r>
  <r>
    <n v="21561"/>
    <x v="2"/>
    <x v="1"/>
    <n v="90000"/>
    <n v="0"/>
    <x v="0"/>
    <s v="Professional"/>
    <s v="No"/>
    <n v="3"/>
    <x v="4"/>
    <x v="1"/>
    <x v="17"/>
    <x v="0"/>
    <x v="1"/>
  </r>
  <r>
    <n v="11061"/>
    <x v="0"/>
    <x v="1"/>
    <n v="70000"/>
    <n v="2"/>
    <x v="1"/>
    <s v="Skilled Manual"/>
    <s v="Yes"/>
    <n v="2"/>
    <x v="2"/>
    <x v="1"/>
    <x v="31"/>
    <x v="0"/>
    <x v="1"/>
  </r>
  <r>
    <n v="26651"/>
    <x v="2"/>
    <x v="1"/>
    <n v="80000"/>
    <n v="4"/>
    <x v="4"/>
    <s v="Management"/>
    <s v="Yes"/>
    <n v="0"/>
    <x v="0"/>
    <x v="1"/>
    <x v="4"/>
    <x v="0"/>
    <x v="1"/>
  </r>
  <r>
    <n v="21108"/>
    <x v="0"/>
    <x v="0"/>
    <n v="40000"/>
    <n v="1"/>
    <x v="0"/>
    <s v="Skilled Manual"/>
    <s v="Yes"/>
    <n v="1"/>
    <x v="0"/>
    <x v="0"/>
    <x v="1"/>
    <x v="0"/>
    <x v="1"/>
  </r>
  <r>
    <n v="12731"/>
    <x v="2"/>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2"/>
    <x v="0"/>
    <n v="10000"/>
    <n v="2"/>
    <x v="2"/>
    <s v="Manual"/>
    <s v="Yes"/>
    <n v="0"/>
    <x v="0"/>
    <x v="0"/>
    <x v="4"/>
    <x v="0"/>
    <x v="1"/>
  </r>
  <r>
    <n v="11585"/>
    <x v="0"/>
    <x v="0"/>
    <n v="40000"/>
    <n v="1"/>
    <x v="0"/>
    <s v="Skilled Manual"/>
    <s v="Yes"/>
    <n v="0"/>
    <x v="0"/>
    <x v="0"/>
    <x v="3"/>
    <x v="0"/>
    <x v="0"/>
  </r>
  <r>
    <n v="20277"/>
    <x v="0"/>
    <x v="0"/>
    <n v="30000"/>
    <n v="2"/>
    <x v="1"/>
    <s v="Clerical"/>
    <s v="No"/>
    <n v="2"/>
    <x v="0"/>
    <x v="1"/>
    <x v="45"/>
    <x v="1"/>
    <x v="0"/>
  </r>
  <r>
    <n v="26765"/>
    <x v="2"/>
    <x v="0"/>
    <n v="70000"/>
    <n v="5"/>
    <x v="1"/>
    <s v="Skilled Manual"/>
    <s v="Yes"/>
    <n v="2"/>
    <x v="2"/>
    <x v="1"/>
    <x v="12"/>
    <x v="0"/>
    <x v="0"/>
  </r>
  <r>
    <n v="12389"/>
    <x v="2"/>
    <x v="1"/>
    <n v="30000"/>
    <n v="0"/>
    <x v="2"/>
    <s v="Manual"/>
    <s v="No"/>
    <n v="1"/>
    <x v="1"/>
    <x v="0"/>
    <x v="17"/>
    <x v="0"/>
    <x v="0"/>
  </r>
  <r>
    <n v="13585"/>
    <x v="0"/>
    <x v="0"/>
    <n v="80000"/>
    <n v="4"/>
    <x v="1"/>
    <s v="Professional"/>
    <s v="No"/>
    <n v="1"/>
    <x v="1"/>
    <x v="0"/>
    <x v="39"/>
    <x v="0"/>
    <x v="1"/>
  </r>
  <r>
    <n v="26385"/>
    <x v="2"/>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2"/>
    <x v="0"/>
    <n v="80000"/>
    <n v="0"/>
    <x v="0"/>
    <s v="Professional"/>
    <s v="No"/>
    <n v="3"/>
    <x v="4"/>
    <x v="1"/>
    <x v="6"/>
    <x v="0"/>
    <x v="0"/>
  </r>
  <r>
    <n v="13662"/>
    <x v="2"/>
    <x v="1"/>
    <n v="20000"/>
    <n v="0"/>
    <x v="3"/>
    <s v="Manual"/>
    <s v="Yes"/>
    <n v="2"/>
    <x v="3"/>
    <x v="0"/>
    <x v="23"/>
    <x v="0"/>
    <x v="1"/>
  </r>
  <r>
    <n v="13089"/>
    <x v="0"/>
    <x v="0"/>
    <n v="120000"/>
    <n v="1"/>
    <x v="0"/>
    <s v="Management"/>
    <s v="Yes"/>
    <n v="2"/>
    <x v="0"/>
    <x v="1"/>
    <x v="30"/>
    <x v="0"/>
    <x v="1"/>
  </r>
  <r>
    <n v="14791"/>
    <x v="0"/>
    <x v="0"/>
    <n v="40000"/>
    <n v="0"/>
    <x v="0"/>
    <s v="Clerical"/>
    <s v="Yes"/>
    <n v="0"/>
    <x v="0"/>
    <x v="0"/>
    <x v="32"/>
    <x v="0"/>
    <x v="1"/>
  </r>
  <r>
    <n v="19331"/>
    <x v="2"/>
    <x v="1"/>
    <n v="20000"/>
    <n v="2"/>
    <x v="2"/>
    <s v="Manual"/>
    <s v="Yes"/>
    <n v="1"/>
    <x v="0"/>
    <x v="0"/>
    <x v="8"/>
    <x v="0"/>
    <x v="0"/>
  </r>
  <r>
    <n v="17754"/>
    <x v="2"/>
    <x v="0"/>
    <n v="30000"/>
    <n v="3"/>
    <x v="0"/>
    <s v="Clerical"/>
    <s v="Yes"/>
    <n v="0"/>
    <x v="0"/>
    <x v="0"/>
    <x v="30"/>
    <x v="0"/>
    <x v="1"/>
  </r>
  <r>
    <n v="11149"/>
    <x v="0"/>
    <x v="1"/>
    <n v="40000"/>
    <n v="2"/>
    <x v="0"/>
    <s v="Management"/>
    <s v="Yes"/>
    <n v="2"/>
    <x v="0"/>
    <x v="1"/>
    <x v="27"/>
    <x v="1"/>
    <x v="0"/>
  </r>
  <r>
    <n v="16549"/>
    <x v="2"/>
    <x v="0"/>
    <n v="30000"/>
    <n v="3"/>
    <x v="0"/>
    <s v="Clerical"/>
    <s v="Yes"/>
    <n v="0"/>
    <x v="0"/>
    <x v="0"/>
    <x v="15"/>
    <x v="0"/>
    <x v="1"/>
  </r>
  <r>
    <n v="24305"/>
    <x v="2"/>
    <x v="1"/>
    <n v="100000"/>
    <n v="1"/>
    <x v="0"/>
    <s v="Management"/>
    <s v="No"/>
    <n v="3"/>
    <x v="0"/>
    <x v="1"/>
    <x v="30"/>
    <x v="0"/>
    <x v="1"/>
  </r>
  <r>
    <n v="18253"/>
    <x v="0"/>
    <x v="0"/>
    <n v="80000"/>
    <n v="5"/>
    <x v="4"/>
    <s v="Management"/>
    <s v="Yes"/>
    <n v="3"/>
    <x v="0"/>
    <x v="1"/>
    <x v="8"/>
    <x v="0"/>
    <x v="0"/>
  </r>
  <r>
    <n v="20147"/>
    <x v="0"/>
    <x v="0"/>
    <n v="30000"/>
    <n v="1"/>
    <x v="0"/>
    <s v="Clerical"/>
    <s v="Yes"/>
    <n v="0"/>
    <x v="0"/>
    <x v="0"/>
    <x v="27"/>
    <x v="1"/>
    <x v="0"/>
  </r>
  <r>
    <n v="15612"/>
    <x v="2"/>
    <x v="1"/>
    <n v="30000"/>
    <n v="0"/>
    <x v="2"/>
    <s v="Manual"/>
    <s v="No"/>
    <n v="1"/>
    <x v="3"/>
    <x v="0"/>
    <x v="26"/>
    <x v="2"/>
    <x v="0"/>
  </r>
  <r>
    <n v="28323"/>
    <x v="2"/>
    <x v="1"/>
    <n v="70000"/>
    <n v="0"/>
    <x v="0"/>
    <s v="Professional"/>
    <s v="No"/>
    <n v="2"/>
    <x v="2"/>
    <x v="1"/>
    <x v="1"/>
    <x v="0"/>
    <x v="1"/>
  </r>
  <r>
    <n v="22634"/>
    <x v="2"/>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2"/>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2"/>
    <x v="0"/>
    <n v="40000"/>
    <n v="2"/>
    <x v="1"/>
    <s v="Clerical"/>
    <s v="Yes"/>
    <n v="0"/>
    <x v="3"/>
    <x v="0"/>
    <x v="6"/>
    <x v="0"/>
    <x v="1"/>
  </r>
  <r>
    <n v="28521"/>
    <x v="2"/>
    <x v="1"/>
    <n v="40000"/>
    <n v="0"/>
    <x v="4"/>
    <s v="Clerical"/>
    <s v="No"/>
    <n v="0"/>
    <x v="0"/>
    <x v="0"/>
    <x v="4"/>
    <x v="0"/>
    <x v="1"/>
  </r>
  <r>
    <n v="15450"/>
    <x v="0"/>
    <x v="1"/>
    <n v="10000"/>
    <n v="1"/>
    <x v="4"/>
    <s v="Clerical"/>
    <s v="Yes"/>
    <n v="0"/>
    <x v="0"/>
    <x v="0"/>
    <x v="43"/>
    <x v="1"/>
    <x v="0"/>
  </r>
  <r>
    <n v="25681"/>
    <x v="2"/>
    <x v="0"/>
    <n v="30000"/>
    <n v="0"/>
    <x v="1"/>
    <s v="Clerical"/>
    <s v="No"/>
    <n v="1"/>
    <x v="1"/>
    <x v="0"/>
    <x v="23"/>
    <x v="0"/>
    <x v="1"/>
  </r>
  <r>
    <n v="19491"/>
    <x v="2"/>
    <x v="1"/>
    <n v="30000"/>
    <n v="2"/>
    <x v="1"/>
    <s v="Clerical"/>
    <s v="Yes"/>
    <n v="2"/>
    <x v="0"/>
    <x v="0"/>
    <x v="0"/>
    <x v="0"/>
    <x v="0"/>
  </r>
  <r>
    <n v="26415"/>
    <x v="0"/>
    <x v="0"/>
    <n v="90000"/>
    <n v="4"/>
    <x v="3"/>
    <s v="Skilled Manual"/>
    <s v="Yes"/>
    <n v="4"/>
    <x v="4"/>
    <x v="0"/>
    <x v="7"/>
    <x v="1"/>
    <x v="0"/>
  </r>
  <r>
    <n v="12821"/>
    <x v="0"/>
    <x v="1"/>
    <n v="40000"/>
    <n v="0"/>
    <x v="0"/>
    <s v="Clerical"/>
    <s v="Yes"/>
    <n v="0"/>
    <x v="0"/>
    <x v="0"/>
    <x v="32"/>
    <x v="0"/>
    <x v="0"/>
  </r>
  <r>
    <n v="15629"/>
    <x v="2"/>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2"/>
    <x v="0"/>
    <n v="40000"/>
    <n v="3"/>
    <x v="1"/>
    <s v="Clerical"/>
    <s v="Yes"/>
    <n v="1"/>
    <x v="3"/>
    <x v="2"/>
    <x v="23"/>
    <x v="0"/>
    <x v="1"/>
  </r>
  <r>
    <n v="23707"/>
    <x v="2"/>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2"/>
    <x v="0"/>
    <n v="60000"/>
    <n v="3"/>
    <x v="0"/>
    <s v="Skilled Manual"/>
    <s v="Yes"/>
    <n v="1"/>
    <x v="1"/>
    <x v="2"/>
    <x v="8"/>
    <x v="0"/>
    <x v="1"/>
  </r>
  <r>
    <n v="15302"/>
    <x v="2"/>
    <x v="0"/>
    <n v="70000"/>
    <n v="1"/>
    <x v="4"/>
    <s v="Professional"/>
    <s v="Yes"/>
    <n v="0"/>
    <x v="1"/>
    <x v="2"/>
    <x v="17"/>
    <x v="0"/>
    <x v="1"/>
  </r>
  <r>
    <n v="26012"/>
    <x v="0"/>
    <x v="1"/>
    <n v="80000"/>
    <n v="1"/>
    <x v="1"/>
    <s v="Skilled Manual"/>
    <s v="Yes"/>
    <n v="1"/>
    <x v="1"/>
    <x v="2"/>
    <x v="28"/>
    <x v="0"/>
    <x v="1"/>
  </r>
  <r>
    <n v="26575"/>
    <x v="2"/>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2"/>
    <x v="1"/>
    <n v="70000"/>
    <n v="0"/>
    <x v="0"/>
    <s v="Professional"/>
    <s v="No"/>
    <n v="1"/>
    <x v="1"/>
    <x v="2"/>
    <x v="34"/>
    <x v="0"/>
    <x v="1"/>
  </r>
  <r>
    <n v="12207"/>
    <x v="2"/>
    <x v="1"/>
    <n v="80000"/>
    <n v="4"/>
    <x v="0"/>
    <s v="Management"/>
    <s v="Yes"/>
    <n v="0"/>
    <x v="2"/>
    <x v="2"/>
    <x v="29"/>
    <x v="1"/>
    <x v="1"/>
  </r>
  <r>
    <n v="18052"/>
    <x v="0"/>
    <x v="0"/>
    <n v="60000"/>
    <n v="1"/>
    <x v="1"/>
    <s v="Skilled Manual"/>
    <s v="Yes"/>
    <n v="1"/>
    <x v="0"/>
    <x v="2"/>
    <x v="12"/>
    <x v="0"/>
    <x v="1"/>
  </r>
  <r>
    <n v="13353"/>
    <x v="2"/>
    <x v="0"/>
    <n v="60000"/>
    <n v="4"/>
    <x v="4"/>
    <s v="Management"/>
    <s v="Yes"/>
    <n v="2"/>
    <x v="4"/>
    <x v="2"/>
    <x v="33"/>
    <x v="1"/>
    <x v="1"/>
  </r>
  <r>
    <n v="19399"/>
    <x v="2"/>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2"/>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2"/>
    <x v="1"/>
    <n v="100000"/>
    <n v="1"/>
    <x v="1"/>
    <s v="Professional"/>
    <s v="No"/>
    <n v="3"/>
    <x v="3"/>
    <x v="2"/>
    <x v="20"/>
    <x v="0"/>
    <x v="0"/>
  </r>
  <r>
    <n v="18976"/>
    <x v="2"/>
    <x v="1"/>
    <n v="40000"/>
    <n v="4"/>
    <x v="2"/>
    <s v="Professional"/>
    <s v="Yes"/>
    <n v="2"/>
    <x v="4"/>
    <x v="2"/>
    <x v="24"/>
    <x v="1"/>
    <x v="1"/>
  </r>
  <r>
    <n v="19413"/>
    <x v="2"/>
    <x v="1"/>
    <n v="60000"/>
    <n v="3"/>
    <x v="0"/>
    <s v="Professional"/>
    <s v="No"/>
    <n v="1"/>
    <x v="0"/>
    <x v="2"/>
    <x v="15"/>
    <x v="0"/>
    <x v="1"/>
  </r>
  <r>
    <n v="13283"/>
    <x v="0"/>
    <x v="1"/>
    <n v="80000"/>
    <n v="3"/>
    <x v="1"/>
    <s v="Professional"/>
    <s v="No"/>
    <n v="2"/>
    <x v="0"/>
    <x v="2"/>
    <x v="38"/>
    <x v="0"/>
    <x v="1"/>
  </r>
  <r>
    <n v="17471"/>
    <x v="2"/>
    <x v="0"/>
    <n v="80000"/>
    <n v="4"/>
    <x v="4"/>
    <s v="Management"/>
    <s v="Yes"/>
    <n v="2"/>
    <x v="2"/>
    <x v="2"/>
    <x v="41"/>
    <x v="1"/>
    <x v="0"/>
  </r>
  <r>
    <n v="16791"/>
    <x v="2"/>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2"/>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2"/>
    <x v="1"/>
    <n v="30000"/>
    <n v="0"/>
    <x v="3"/>
    <s v="Clerical"/>
    <s v="Yes"/>
    <n v="2"/>
    <x v="2"/>
    <x v="2"/>
    <x v="26"/>
    <x v="2"/>
    <x v="0"/>
  </r>
  <r>
    <n v="29143"/>
    <x v="2"/>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2"/>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2"/>
    <x v="0"/>
    <n v="70000"/>
    <n v="0"/>
    <x v="0"/>
    <s v="Professional"/>
    <s v="No"/>
    <n v="1"/>
    <x v="1"/>
    <x v="2"/>
    <x v="34"/>
    <x v="0"/>
    <x v="1"/>
  </r>
  <r>
    <n v="12195"/>
    <x v="2"/>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2"/>
    <x v="1"/>
    <n v="120000"/>
    <n v="2"/>
    <x v="0"/>
    <s v="Management"/>
    <s v="No"/>
    <n v="4"/>
    <x v="3"/>
    <x v="2"/>
    <x v="8"/>
    <x v="0"/>
    <x v="0"/>
  </r>
  <r>
    <n v="19758"/>
    <x v="2"/>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2"/>
    <x v="0"/>
    <n v="80000"/>
    <n v="4"/>
    <x v="4"/>
    <s v="Skilled Manual"/>
    <s v="No"/>
    <n v="0"/>
    <x v="0"/>
    <x v="2"/>
    <x v="28"/>
    <x v="0"/>
    <x v="0"/>
  </r>
  <r>
    <n v="13453"/>
    <x v="0"/>
    <x v="0"/>
    <n v="130000"/>
    <n v="3"/>
    <x v="0"/>
    <s v="Management"/>
    <s v="Yes"/>
    <n v="3"/>
    <x v="0"/>
    <x v="2"/>
    <x v="12"/>
    <x v="0"/>
    <x v="1"/>
  </r>
  <r>
    <n v="14063"/>
    <x v="2"/>
    <x v="0"/>
    <n v="70000"/>
    <n v="0"/>
    <x v="0"/>
    <s v="Professional"/>
    <s v="No"/>
    <n v="1"/>
    <x v="0"/>
    <x v="1"/>
    <x v="0"/>
    <x v="0"/>
    <x v="1"/>
  </r>
  <r>
    <n v="27393"/>
    <x v="0"/>
    <x v="0"/>
    <n v="50000"/>
    <n v="4"/>
    <x v="0"/>
    <s v="Management"/>
    <s v="Yes"/>
    <n v="2"/>
    <x v="4"/>
    <x v="2"/>
    <x v="18"/>
    <x v="1"/>
    <x v="0"/>
  </r>
  <r>
    <n v="14417"/>
    <x v="2"/>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2"/>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2"/>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2"/>
    <x v="0"/>
    <n v="30000"/>
    <n v="0"/>
    <x v="1"/>
    <s v="Skilled Manual"/>
    <s v="Yes"/>
    <n v="1"/>
    <x v="2"/>
    <x v="2"/>
    <x v="26"/>
    <x v="2"/>
    <x v="0"/>
  </r>
  <r>
    <n v="17369"/>
    <x v="2"/>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2"/>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2"/>
    <x v="1"/>
    <n v="30000"/>
    <n v="0"/>
    <x v="2"/>
    <s v="Skilled Manual"/>
    <s v="Yes"/>
    <n v="2"/>
    <x v="2"/>
    <x v="2"/>
    <x v="25"/>
    <x v="2"/>
    <x v="0"/>
  </r>
  <r>
    <n v="21751"/>
    <x v="0"/>
    <x v="1"/>
    <n v="60000"/>
    <n v="3"/>
    <x v="4"/>
    <s v="Management"/>
    <s v="Yes"/>
    <n v="2"/>
    <x v="3"/>
    <x v="2"/>
    <x v="18"/>
    <x v="1"/>
    <x v="0"/>
  </r>
  <r>
    <n v="21266"/>
    <x v="2"/>
    <x v="0"/>
    <n v="80000"/>
    <n v="0"/>
    <x v="0"/>
    <s v="Management"/>
    <s v="Yes"/>
    <n v="1"/>
    <x v="3"/>
    <x v="2"/>
    <x v="17"/>
    <x v="0"/>
    <x v="1"/>
  </r>
  <r>
    <n v="13388"/>
    <x v="2"/>
    <x v="1"/>
    <n v="60000"/>
    <n v="2"/>
    <x v="1"/>
    <s v="Professional"/>
    <s v="Yes"/>
    <n v="1"/>
    <x v="4"/>
    <x v="2"/>
    <x v="16"/>
    <x v="1"/>
    <x v="0"/>
  </r>
  <r>
    <n v="18752"/>
    <x v="2"/>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2"/>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2"/>
    <x v="1"/>
    <n v="70000"/>
    <n v="2"/>
    <x v="0"/>
    <s v="Skilled Manual"/>
    <s v="No"/>
    <n v="1"/>
    <x v="0"/>
    <x v="2"/>
    <x v="34"/>
    <x v="0"/>
    <x v="1"/>
  </r>
  <r>
    <n v="15194"/>
    <x v="2"/>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2"/>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2"/>
    <x v="0"/>
    <n v="80000"/>
    <n v="5"/>
    <x v="1"/>
    <s v="Professional"/>
    <s v="Yes"/>
    <n v="2"/>
    <x v="2"/>
    <x v="2"/>
    <x v="20"/>
    <x v="0"/>
    <x v="0"/>
  </r>
  <r>
    <n v="19812"/>
    <x v="2"/>
    <x v="0"/>
    <n v="70000"/>
    <n v="2"/>
    <x v="1"/>
    <s v="Professional"/>
    <s v="Yes"/>
    <n v="0"/>
    <x v="2"/>
    <x v="2"/>
    <x v="38"/>
    <x v="0"/>
    <x v="1"/>
  </r>
  <r>
    <n v="27660"/>
    <x v="0"/>
    <x v="1"/>
    <n v="80000"/>
    <n v="4"/>
    <x v="4"/>
    <s v="Management"/>
    <s v="Yes"/>
    <n v="2"/>
    <x v="2"/>
    <x v="2"/>
    <x v="43"/>
    <x v="1"/>
    <x v="0"/>
  </r>
  <r>
    <n v="18058"/>
    <x v="2"/>
    <x v="0"/>
    <n v="20000"/>
    <n v="3"/>
    <x v="2"/>
    <s v="Skilled Manual"/>
    <s v="Yes"/>
    <n v="2"/>
    <x v="1"/>
    <x v="2"/>
    <x v="44"/>
    <x v="1"/>
    <x v="0"/>
  </r>
  <r>
    <n v="20343"/>
    <x v="0"/>
    <x v="0"/>
    <n v="90000"/>
    <n v="4"/>
    <x v="1"/>
    <s v="Professional"/>
    <s v="Yes"/>
    <n v="1"/>
    <x v="3"/>
    <x v="2"/>
    <x v="12"/>
    <x v="0"/>
    <x v="0"/>
  </r>
  <r>
    <n v="28997"/>
    <x v="2"/>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2"/>
    <x v="1"/>
    <n v="80000"/>
    <n v="4"/>
    <x v="1"/>
    <s v="Professional"/>
    <s v="No"/>
    <n v="2"/>
    <x v="0"/>
    <x v="2"/>
    <x v="1"/>
    <x v="0"/>
    <x v="0"/>
  </r>
  <r>
    <n v="18858"/>
    <x v="2"/>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2"/>
    <x v="1"/>
    <n v="70000"/>
    <n v="3"/>
    <x v="2"/>
    <s v="Professional"/>
    <s v="Yes"/>
    <n v="0"/>
    <x v="2"/>
    <x v="2"/>
    <x v="31"/>
    <x v="0"/>
    <x v="1"/>
  </r>
  <r>
    <n v="11644"/>
    <x v="2"/>
    <x v="1"/>
    <n v="40000"/>
    <n v="2"/>
    <x v="0"/>
    <s v="Skilled Manual"/>
    <s v="Yes"/>
    <n v="0"/>
    <x v="1"/>
    <x v="2"/>
    <x v="4"/>
    <x v="0"/>
    <x v="0"/>
  </r>
  <r>
    <n v="16145"/>
    <x v="2"/>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2"/>
    <x v="0"/>
    <n v="30000"/>
    <n v="0"/>
    <x v="3"/>
    <s v="Clerical"/>
    <s v="Yes"/>
    <n v="2"/>
    <x v="2"/>
    <x v="2"/>
    <x v="40"/>
    <x v="2"/>
    <x v="0"/>
  </r>
  <r>
    <n v="25184"/>
    <x v="2"/>
    <x v="1"/>
    <n v="110000"/>
    <n v="1"/>
    <x v="1"/>
    <s v="Professional"/>
    <s v="Yes"/>
    <n v="4"/>
    <x v="2"/>
    <x v="2"/>
    <x v="12"/>
    <x v="0"/>
    <x v="1"/>
  </r>
  <r>
    <n v="14469"/>
    <x v="0"/>
    <x v="0"/>
    <n v="100000"/>
    <n v="3"/>
    <x v="1"/>
    <s v="Professional"/>
    <s v="Yes"/>
    <n v="4"/>
    <x v="3"/>
    <x v="2"/>
    <x v="12"/>
    <x v="0"/>
    <x v="0"/>
  </r>
  <r>
    <n v="11538"/>
    <x v="2"/>
    <x v="0"/>
    <n v="60000"/>
    <n v="4"/>
    <x v="4"/>
    <s v="Skilled Manual"/>
    <s v="No"/>
    <n v="0"/>
    <x v="0"/>
    <x v="2"/>
    <x v="15"/>
    <x v="0"/>
    <x v="1"/>
  </r>
  <r>
    <n v="16245"/>
    <x v="2"/>
    <x v="0"/>
    <n v="80000"/>
    <n v="4"/>
    <x v="4"/>
    <s v="Skilled Manual"/>
    <s v="Yes"/>
    <n v="0"/>
    <x v="3"/>
    <x v="2"/>
    <x v="15"/>
    <x v="0"/>
    <x v="0"/>
  </r>
  <r>
    <n v="17858"/>
    <x v="0"/>
    <x v="1"/>
    <n v="40000"/>
    <n v="4"/>
    <x v="2"/>
    <s v="Skilled Manual"/>
    <s v="Yes"/>
    <n v="2"/>
    <x v="1"/>
    <x v="2"/>
    <x v="20"/>
    <x v="0"/>
    <x v="1"/>
  </r>
  <r>
    <n v="25347"/>
    <x v="2"/>
    <x v="0"/>
    <n v="20000"/>
    <n v="3"/>
    <x v="3"/>
    <s v="Clerical"/>
    <s v="No"/>
    <n v="2"/>
    <x v="0"/>
    <x v="2"/>
    <x v="38"/>
    <x v="0"/>
    <x v="0"/>
  </r>
  <r>
    <n v="15814"/>
    <x v="2"/>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2"/>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2"/>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2"/>
    <x v="1"/>
    <n v="70000"/>
    <n v="5"/>
    <x v="1"/>
    <s v="Professional"/>
    <s v="Yes"/>
    <n v="3"/>
    <x v="1"/>
    <x v="2"/>
    <x v="20"/>
    <x v="0"/>
    <x v="0"/>
  </r>
  <r>
    <n v="13754"/>
    <x v="2"/>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2"/>
    <x v="0"/>
    <n v="30000"/>
    <n v="2"/>
    <x v="2"/>
    <s v="Skilled Manual"/>
    <s v="No"/>
    <n v="2"/>
    <x v="0"/>
    <x v="2"/>
    <x v="38"/>
    <x v="0"/>
    <x v="0"/>
  </r>
  <r>
    <n v="29237"/>
    <x v="2"/>
    <x v="0"/>
    <n v="120000"/>
    <n v="4"/>
    <x v="1"/>
    <s v="Professional"/>
    <s v="Yes"/>
    <n v="3"/>
    <x v="2"/>
    <x v="2"/>
    <x v="1"/>
    <x v="0"/>
    <x v="1"/>
  </r>
  <r>
    <n v="15272"/>
    <x v="2"/>
    <x v="1"/>
    <n v="40000"/>
    <n v="0"/>
    <x v="2"/>
    <s v="Skilled Manual"/>
    <s v="No"/>
    <n v="2"/>
    <x v="3"/>
    <x v="2"/>
    <x v="25"/>
    <x v="2"/>
    <x v="0"/>
  </r>
  <r>
    <n v="18949"/>
    <x v="2"/>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2"/>
    <x v="0"/>
    <n v="60000"/>
    <n v="0"/>
    <x v="4"/>
    <s v="Skilled Manual"/>
    <s v="Yes"/>
    <n v="0"/>
    <x v="0"/>
    <x v="2"/>
    <x v="32"/>
    <x v="0"/>
    <x v="0"/>
  </r>
  <r>
    <n v="16247"/>
    <x v="2"/>
    <x v="0"/>
    <n v="60000"/>
    <n v="4"/>
    <x v="4"/>
    <s v="Skilled Manual"/>
    <s v="No"/>
    <n v="0"/>
    <x v="3"/>
    <x v="2"/>
    <x v="15"/>
    <x v="0"/>
    <x v="0"/>
  </r>
  <r>
    <n v="22010"/>
    <x v="2"/>
    <x v="1"/>
    <n v="40000"/>
    <n v="0"/>
    <x v="2"/>
    <s v="Skilled Manual"/>
    <s v="Yes"/>
    <n v="2"/>
    <x v="2"/>
    <x v="2"/>
    <x v="23"/>
    <x v="0"/>
    <x v="0"/>
  </r>
  <r>
    <n v="25872"/>
    <x v="2"/>
    <x v="0"/>
    <n v="70000"/>
    <n v="2"/>
    <x v="0"/>
    <s v="Management"/>
    <s v="No"/>
    <n v="1"/>
    <x v="1"/>
    <x v="2"/>
    <x v="7"/>
    <x v="1"/>
    <x v="1"/>
  </r>
  <r>
    <n v="19164"/>
    <x v="2"/>
    <x v="0"/>
    <n v="70000"/>
    <n v="0"/>
    <x v="0"/>
    <s v="Professional"/>
    <s v="No"/>
    <n v="1"/>
    <x v="1"/>
    <x v="2"/>
    <x v="13"/>
    <x v="0"/>
    <x v="1"/>
  </r>
  <r>
    <n v="18435"/>
    <x v="2"/>
    <x v="0"/>
    <n v="70000"/>
    <n v="5"/>
    <x v="4"/>
    <s v="Management"/>
    <s v="Yes"/>
    <n v="2"/>
    <x v="4"/>
    <x v="2"/>
    <x v="41"/>
    <x v="1"/>
    <x v="1"/>
  </r>
  <r>
    <n v="14284"/>
    <x v="2"/>
    <x v="1"/>
    <n v="60000"/>
    <n v="0"/>
    <x v="1"/>
    <s v="Professional"/>
    <s v="No"/>
    <n v="2"/>
    <x v="3"/>
    <x v="2"/>
    <x v="21"/>
    <x v="0"/>
    <x v="1"/>
  </r>
  <r>
    <n v="11287"/>
    <x v="0"/>
    <x v="1"/>
    <n v="70000"/>
    <n v="5"/>
    <x v="1"/>
    <s v="Professional"/>
    <s v="No"/>
    <n v="3"/>
    <x v="2"/>
    <x v="2"/>
    <x v="12"/>
    <x v="0"/>
    <x v="0"/>
  </r>
  <r>
    <n v="13066"/>
    <x v="2"/>
    <x v="1"/>
    <n v="30000"/>
    <n v="0"/>
    <x v="2"/>
    <s v="Skilled Manual"/>
    <s v="No"/>
    <n v="2"/>
    <x v="3"/>
    <x v="2"/>
    <x v="23"/>
    <x v="0"/>
    <x v="1"/>
  </r>
  <r>
    <n v="29106"/>
    <x v="2"/>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2"/>
    <x v="1"/>
    <n v="50000"/>
    <n v="2"/>
    <x v="0"/>
    <s v="Skilled Manual"/>
    <s v="Yes"/>
    <n v="1"/>
    <x v="1"/>
    <x v="2"/>
    <x v="13"/>
    <x v="0"/>
    <x v="1"/>
  </r>
  <r>
    <n v="24643"/>
    <x v="2"/>
    <x v="0"/>
    <n v="60000"/>
    <n v="4"/>
    <x v="0"/>
    <s v="Management"/>
    <s v="Yes"/>
    <n v="2"/>
    <x v="4"/>
    <x v="2"/>
    <x v="18"/>
    <x v="1"/>
    <x v="0"/>
  </r>
  <r>
    <n v="21599"/>
    <x v="0"/>
    <x v="0"/>
    <n v="60000"/>
    <n v="1"/>
    <x v="4"/>
    <s v="Professional"/>
    <s v="Yes"/>
    <n v="0"/>
    <x v="1"/>
    <x v="2"/>
    <x v="4"/>
    <x v="0"/>
    <x v="1"/>
  </r>
  <r>
    <n v="22976"/>
    <x v="2"/>
    <x v="1"/>
    <n v="40000"/>
    <n v="0"/>
    <x v="2"/>
    <s v="Skilled Manual"/>
    <s v="No"/>
    <n v="2"/>
    <x v="0"/>
    <x v="2"/>
    <x v="26"/>
    <x v="2"/>
    <x v="1"/>
  </r>
  <r>
    <n v="27637"/>
    <x v="2"/>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2"/>
    <x v="0"/>
    <n v="60000"/>
    <n v="1"/>
    <x v="4"/>
    <s v="Professional"/>
    <s v="Yes"/>
    <n v="0"/>
    <x v="1"/>
    <x v="2"/>
    <x v="4"/>
    <x v="0"/>
    <x v="1"/>
  </r>
  <r>
    <n v="21260"/>
    <x v="2"/>
    <x v="0"/>
    <n v="40000"/>
    <n v="0"/>
    <x v="2"/>
    <s v="Skilled Manual"/>
    <s v="Yes"/>
    <n v="2"/>
    <x v="2"/>
    <x v="2"/>
    <x v="25"/>
    <x v="2"/>
    <x v="0"/>
  </r>
  <r>
    <n v="11817"/>
    <x v="2"/>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2"/>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2"/>
    <x v="0"/>
    <n v="60000"/>
    <n v="4"/>
    <x v="0"/>
    <s v="Skilled Manual"/>
    <s v="No"/>
    <n v="2"/>
    <x v="0"/>
    <x v="2"/>
    <x v="0"/>
    <x v="0"/>
    <x v="0"/>
  </r>
  <r>
    <n v="27673"/>
    <x v="2"/>
    <x v="0"/>
    <n v="60000"/>
    <n v="3"/>
    <x v="4"/>
    <s v="Management"/>
    <s v="Yes"/>
    <n v="2"/>
    <x v="2"/>
    <x v="2"/>
    <x v="39"/>
    <x v="0"/>
    <x v="1"/>
  </r>
  <r>
    <n v="12774"/>
    <x v="0"/>
    <x v="0"/>
    <n v="40000"/>
    <n v="1"/>
    <x v="1"/>
    <s v="Clerical"/>
    <s v="Yes"/>
    <n v="1"/>
    <x v="3"/>
    <x v="2"/>
    <x v="36"/>
    <x v="0"/>
    <x v="1"/>
  </r>
  <r>
    <n v="18910"/>
    <x v="2"/>
    <x v="1"/>
    <n v="30000"/>
    <n v="0"/>
    <x v="1"/>
    <s v="Skilled Manual"/>
    <s v="Yes"/>
    <n v="2"/>
    <x v="2"/>
    <x v="2"/>
    <x v="25"/>
    <x v="2"/>
    <x v="0"/>
  </r>
  <r>
    <n v="11699"/>
    <x v="2"/>
    <x v="1"/>
    <n v="60000"/>
    <n v="0"/>
    <x v="0"/>
    <s v="Skilled Manual"/>
    <s v="No"/>
    <n v="2"/>
    <x v="0"/>
    <x v="2"/>
    <x v="25"/>
    <x v="2"/>
    <x v="0"/>
  </r>
  <r>
    <n v="16725"/>
    <x v="0"/>
    <x v="1"/>
    <n v="30000"/>
    <n v="0"/>
    <x v="2"/>
    <s v="Skilled Manual"/>
    <s v="Yes"/>
    <n v="2"/>
    <x v="2"/>
    <x v="2"/>
    <x v="22"/>
    <x v="2"/>
    <x v="0"/>
  </r>
  <r>
    <n v="28269"/>
    <x v="2"/>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2"/>
    <x v="0"/>
    <n v="60000"/>
    <n v="4"/>
    <x v="0"/>
    <s v="Skilled Manual"/>
    <s v="No"/>
    <n v="2"/>
    <x v="0"/>
    <x v="2"/>
    <x v="3"/>
    <x v="0"/>
    <x v="1"/>
  </r>
  <r>
    <n v="28068"/>
    <x v="2"/>
    <x v="0"/>
    <n v="80000"/>
    <n v="3"/>
    <x v="4"/>
    <s v="Professional"/>
    <s v="No"/>
    <n v="0"/>
    <x v="0"/>
    <x v="2"/>
    <x v="4"/>
    <x v="0"/>
    <x v="1"/>
  </r>
  <r>
    <n v="18390"/>
    <x v="0"/>
    <x v="1"/>
    <n v="80000"/>
    <n v="5"/>
    <x v="1"/>
    <s v="Professional"/>
    <s v="Yes"/>
    <n v="2"/>
    <x v="0"/>
    <x v="2"/>
    <x v="20"/>
    <x v="0"/>
    <x v="0"/>
  </r>
  <r>
    <n v="29112"/>
    <x v="2"/>
    <x v="1"/>
    <n v="60000"/>
    <n v="0"/>
    <x v="1"/>
    <s v="Professional"/>
    <s v="No"/>
    <n v="2"/>
    <x v="3"/>
    <x v="2"/>
    <x v="25"/>
    <x v="2"/>
    <x v="0"/>
  </r>
  <r>
    <n v="14090"/>
    <x v="0"/>
    <x v="0"/>
    <n v="30000"/>
    <n v="0"/>
    <x v="3"/>
    <s v="Clerical"/>
    <s v="No"/>
    <n v="2"/>
    <x v="0"/>
    <x v="2"/>
    <x v="26"/>
    <x v="2"/>
    <x v="0"/>
  </r>
  <r>
    <n v="27040"/>
    <x v="0"/>
    <x v="1"/>
    <n v="20000"/>
    <n v="2"/>
    <x v="3"/>
    <s v="Clerical"/>
    <s v="Yes"/>
    <n v="2"/>
    <x v="3"/>
    <x v="2"/>
    <x v="38"/>
    <x v="0"/>
    <x v="0"/>
  </r>
  <r>
    <n v="23479"/>
    <x v="2"/>
    <x v="1"/>
    <n v="90000"/>
    <n v="0"/>
    <x v="1"/>
    <s v="Professional"/>
    <s v="No"/>
    <n v="2"/>
    <x v="0"/>
    <x v="2"/>
    <x v="1"/>
    <x v="0"/>
    <x v="1"/>
  </r>
  <r>
    <n v="16795"/>
    <x v="0"/>
    <x v="0"/>
    <n v="70000"/>
    <n v="4"/>
    <x v="0"/>
    <s v="Management"/>
    <s v="Yes"/>
    <n v="1"/>
    <x v="3"/>
    <x v="2"/>
    <x v="14"/>
    <x v="1"/>
    <x v="0"/>
  </r>
  <r>
    <n v="22014"/>
    <x v="2"/>
    <x v="1"/>
    <n v="30000"/>
    <n v="0"/>
    <x v="2"/>
    <s v="Skilled Manual"/>
    <s v="Yes"/>
    <n v="2"/>
    <x v="2"/>
    <x v="2"/>
    <x v="22"/>
    <x v="2"/>
    <x v="0"/>
  </r>
  <r>
    <n v="13314"/>
    <x v="0"/>
    <x v="1"/>
    <n v="120000"/>
    <n v="1"/>
    <x v="2"/>
    <s v="Professional"/>
    <s v="Yes"/>
    <n v="4"/>
    <x v="2"/>
    <x v="2"/>
    <x v="30"/>
    <x v="0"/>
    <x v="1"/>
  </r>
  <r>
    <n v="11619"/>
    <x v="2"/>
    <x v="0"/>
    <n v="50000"/>
    <n v="0"/>
    <x v="4"/>
    <s v="Skilled Manual"/>
    <s v="Yes"/>
    <n v="0"/>
    <x v="3"/>
    <x v="2"/>
    <x v="6"/>
    <x v="0"/>
    <x v="0"/>
  </r>
  <r>
    <n v="29132"/>
    <x v="2"/>
    <x v="0"/>
    <n v="40000"/>
    <n v="0"/>
    <x v="0"/>
    <s v="Professional"/>
    <s v="Yes"/>
    <n v="1"/>
    <x v="1"/>
    <x v="2"/>
    <x v="0"/>
    <x v="0"/>
    <x v="1"/>
  </r>
  <r>
    <n v="11199"/>
    <x v="0"/>
    <x v="0"/>
    <n v="70000"/>
    <n v="4"/>
    <x v="0"/>
    <s v="Management"/>
    <s v="Yes"/>
    <n v="1"/>
    <x v="4"/>
    <x v="2"/>
    <x v="14"/>
    <x v="1"/>
    <x v="0"/>
  </r>
  <r>
    <n v="20296"/>
    <x v="2"/>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2"/>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2"/>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2"/>
    <x v="0"/>
    <n v="80000"/>
    <n v="0"/>
    <x v="4"/>
    <s v="Skilled Manual"/>
    <s v="No"/>
    <n v="0"/>
    <x v="0"/>
    <x v="2"/>
    <x v="8"/>
    <x v="0"/>
    <x v="0"/>
  </r>
  <r>
    <n v="19661"/>
    <x v="2"/>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2"/>
    <x v="0"/>
    <n v="40000"/>
    <n v="5"/>
    <x v="2"/>
    <s v="Professional"/>
    <s v="No"/>
    <n v="3"/>
    <x v="1"/>
    <x v="2"/>
    <x v="2"/>
    <x v="1"/>
    <x v="1"/>
  </r>
  <r>
    <n v="13287"/>
    <x v="2"/>
    <x v="1"/>
    <n v="110000"/>
    <n v="4"/>
    <x v="0"/>
    <s v="Management"/>
    <s v="Yes"/>
    <n v="4"/>
    <x v="2"/>
    <x v="2"/>
    <x v="0"/>
    <x v="0"/>
    <x v="1"/>
  </r>
  <r>
    <n v="14493"/>
    <x v="2"/>
    <x v="0"/>
    <n v="70000"/>
    <n v="3"/>
    <x v="4"/>
    <s v="Management"/>
    <s v="No"/>
    <n v="2"/>
    <x v="3"/>
    <x v="2"/>
    <x v="39"/>
    <x v="0"/>
    <x v="0"/>
  </r>
  <r>
    <n v="26678"/>
    <x v="2"/>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2"/>
    <x v="0"/>
    <n v="60000"/>
    <n v="4"/>
    <x v="0"/>
    <s v="Skilled Manual"/>
    <s v="Yes"/>
    <n v="2"/>
    <x v="1"/>
    <x v="2"/>
    <x v="3"/>
    <x v="0"/>
    <x v="1"/>
  </r>
  <r>
    <n v="22220"/>
    <x v="0"/>
    <x v="1"/>
    <n v="60000"/>
    <n v="2"/>
    <x v="2"/>
    <s v="Professional"/>
    <s v="No"/>
    <n v="2"/>
    <x v="3"/>
    <x v="2"/>
    <x v="38"/>
    <x v="0"/>
    <x v="1"/>
  </r>
  <r>
    <n v="26625"/>
    <x v="2"/>
    <x v="0"/>
    <n v="60000"/>
    <n v="0"/>
    <x v="4"/>
    <s v="Professional"/>
    <s v="Yes"/>
    <n v="1"/>
    <x v="1"/>
    <x v="2"/>
    <x v="13"/>
    <x v="0"/>
    <x v="1"/>
  </r>
  <r>
    <n v="23027"/>
    <x v="2"/>
    <x v="1"/>
    <n v="130000"/>
    <n v="1"/>
    <x v="0"/>
    <s v="Management"/>
    <s v="No"/>
    <n v="4"/>
    <x v="0"/>
    <x v="2"/>
    <x v="20"/>
    <x v="0"/>
    <x v="0"/>
  </r>
  <r>
    <n v="16867"/>
    <x v="2"/>
    <x v="0"/>
    <n v="130000"/>
    <n v="1"/>
    <x v="0"/>
    <s v="Management"/>
    <s v="No"/>
    <n v="3"/>
    <x v="0"/>
    <x v="2"/>
    <x v="12"/>
    <x v="0"/>
    <x v="1"/>
  </r>
  <r>
    <n v="14514"/>
    <x v="2"/>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2"/>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2"/>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2"/>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2"/>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2"/>
    <x v="1"/>
    <n v="30000"/>
    <n v="1"/>
    <x v="2"/>
    <s v="Clerical"/>
    <s v="Yes"/>
    <n v="2"/>
    <x v="3"/>
    <x v="2"/>
    <x v="36"/>
    <x v="0"/>
    <x v="1"/>
  </r>
  <r>
    <n v="21714"/>
    <x v="2"/>
    <x v="0"/>
    <n v="80000"/>
    <n v="5"/>
    <x v="4"/>
    <s v="Skilled Manual"/>
    <s v="No"/>
    <n v="0"/>
    <x v="0"/>
    <x v="2"/>
    <x v="15"/>
    <x v="0"/>
    <x v="0"/>
  </r>
  <r>
    <n v="23217"/>
    <x v="2"/>
    <x v="0"/>
    <n v="60000"/>
    <n v="3"/>
    <x v="4"/>
    <s v="Professional"/>
    <s v="Yes"/>
    <n v="0"/>
    <x v="1"/>
    <x v="2"/>
    <x v="1"/>
    <x v="0"/>
    <x v="1"/>
  </r>
  <r>
    <n v="23797"/>
    <x v="2"/>
    <x v="1"/>
    <n v="20000"/>
    <n v="3"/>
    <x v="3"/>
    <s v="Clerical"/>
    <s v="No"/>
    <n v="2"/>
    <x v="0"/>
    <x v="2"/>
    <x v="5"/>
    <x v="0"/>
    <x v="0"/>
  </r>
  <r>
    <n v="13216"/>
    <x v="0"/>
    <x v="0"/>
    <n v="60000"/>
    <n v="5"/>
    <x v="0"/>
    <s v="Management"/>
    <s v="Yes"/>
    <n v="3"/>
    <x v="4"/>
    <x v="2"/>
    <x v="14"/>
    <x v="1"/>
    <x v="0"/>
  </r>
  <r>
    <n v="20657"/>
    <x v="2"/>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2"/>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2"/>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2"/>
    <x v="1"/>
    <n v="70000"/>
    <n v="2"/>
    <x v="0"/>
    <s v="Management"/>
    <s v="No"/>
    <n v="1"/>
    <x v="1"/>
    <x v="2"/>
    <x v="14"/>
    <x v="1"/>
    <x v="1"/>
  </r>
  <r>
    <n v="13151"/>
    <x v="2"/>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2"/>
    <x v="1"/>
    <n v="70000"/>
    <n v="4"/>
    <x v="0"/>
    <s v="Professional"/>
    <s v="Yes"/>
    <n v="2"/>
    <x v="1"/>
    <x v="2"/>
    <x v="1"/>
    <x v="0"/>
    <x v="1"/>
  </r>
  <r>
    <n v="20698"/>
    <x v="0"/>
    <x v="1"/>
    <n v="60000"/>
    <n v="4"/>
    <x v="0"/>
    <s v="Skilled Manual"/>
    <s v="Yes"/>
    <n v="3"/>
    <x v="2"/>
    <x v="2"/>
    <x v="0"/>
    <x v="0"/>
    <x v="0"/>
  </r>
  <r>
    <n v="20076"/>
    <x v="2"/>
    <x v="0"/>
    <n v="10000"/>
    <n v="2"/>
    <x v="2"/>
    <s v="Manual"/>
    <s v="Yes"/>
    <n v="2"/>
    <x v="3"/>
    <x v="2"/>
    <x v="39"/>
    <x v="0"/>
    <x v="1"/>
  </r>
  <r>
    <n v="24496"/>
    <x v="2"/>
    <x v="0"/>
    <n v="40000"/>
    <n v="0"/>
    <x v="2"/>
    <s v="Skilled Manual"/>
    <s v="No"/>
    <n v="2"/>
    <x v="0"/>
    <x v="2"/>
    <x v="26"/>
    <x v="2"/>
    <x v="1"/>
  </r>
  <r>
    <n v="15468"/>
    <x v="0"/>
    <x v="0"/>
    <n v="50000"/>
    <n v="1"/>
    <x v="0"/>
    <s v="Skilled Manual"/>
    <s v="Yes"/>
    <n v="1"/>
    <x v="0"/>
    <x v="2"/>
    <x v="11"/>
    <x v="0"/>
    <x v="0"/>
  </r>
  <r>
    <n v="28031"/>
    <x v="2"/>
    <x v="0"/>
    <n v="70000"/>
    <n v="2"/>
    <x v="0"/>
    <s v="Management"/>
    <s v="No"/>
    <n v="1"/>
    <x v="1"/>
    <x v="2"/>
    <x v="14"/>
    <x v="1"/>
    <x v="1"/>
  </r>
  <r>
    <n v="26270"/>
    <x v="2"/>
    <x v="0"/>
    <n v="20000"/>
    <n v="2"/>
    <x v="3"/>
    <s v="Clerical"/>
    <s v="Yes"/>
    <n v="2"/>
    <x v="3"/>
    <x v="2"/>
    <x v="38"/>
    <x v="0"/>
    <x v="0"/>
  </r>
  <r>
    <n v="22221"/>
    <x v="0"/>
    <x v="1"/>
    <n v="60000"/>
    <n v="2"/>
    <x v="2"/>
    <s v="Professional"/>
    <s v="No"/>
    <n v="2"/>
    <x v="3"/>
    <x v="2"/>
    <x v="28"/>
    <x v="0"/>
    <x v="1"/>
  </r>
  <r>
    <n v="28228"/>
    <x v="2"/>
    <x v="0"/>
    <n v="80000"/>
    <n v="2"/>
    <x v="3"/>
    <s v="Skilled Manual"/>
    <s v="No"/>
    <n v="2"/>
    <x v="3"/>
    <x v="2"/>
    <x v="5"/>
    <x v="0"/>
    <x v="0"/>
  </r>
  <r>
    <n v="18363"/>
    <x v="0"/>
    <x v="1"/>
    <n v="40000"/>
    <n v="0"/>
    <x v="2"/>
    <s v="Skilled Manual"/>
    <s v="Yes"/>
    <n v="2"/>
    <x v="2"/>
    <x v="2"/>
    <x v="26"/>
    <x v="2"/>
    <x v="1"/>
  </r>
  <r>
    <n v="23256"/>
    <x v="2"/>
    <x v="1"/>
    <n v="30000"/>
    <n v="1"/>
    <x v="2"/>
    <s v="Clerical"/>
    <s v="No"/>
    <n v="1"/>
    <x v="2"/>
    <x v="2"/>
    <x v="31"/>
    <x v="0"/>
    <x v="0"/>
  </r>
  <r>
    <n v="12768"/>
    <x v="0"/>
    <x v="1"/>
    <n v="30000"/>
    <n v="1"/>
    <x v="2"/>
    <s v="Clerical"/>
    <s v="Yes"/>
    <n v="1"/>
    <x v="1"/>
    <x v="2"/>
    <x v="31"/>
    <x v="0"/>
    <x v="1"/>
  </r>
  <r>
    <n v="20361"/>
    <x v="0"/>
    <x v="1"/>
    <n v="50000"/>
    <n v="2"/>
    <x v="4"/>
    <s v="Management"/>
    <s v="Yes"/>
    <n v="2"/>
    <x v="2"/>
    <x v="2"/>
    <x v="45"/>
    <x v="1"/>
    <x v="0"/>
  </r>
  <r>
    <n v="21306"/>
    <x v="2"/>
    <x v="1"/>
    <n v="60000"/>
    <n v="2"/>
    <x v="2"/>
    <s v="Professional"/>
    <s v="Yes"/>
    <n v="2"/>
    <x v="2"/>
    <x v="2"/>
    <x v="36"/>
    <x v="0"/>
    <x v="0"/>
  </r>
  <r>
    <n v="13382"/>
    <x v="0"/>
    <x v="1"/>
    <n v="70000"/>
    <n v="5"/>
    <x v="1"/>
    <s v="Professional"/>
    <s v="Yes"/>
    <n v="2"/>
    <x v="3"/>
    <x v="2"/>
    <x v="42"/>
    <x v="1"/>
    <x v="1"/>
  </r>
  <r>
    <n v="20310"/>
    <x v="2"/>
    <x v="1"/>
    <n v="60000"/>
    <n v="0"/>
    <x v="1"/>
    <s v="Skilled Manual"/>
    <s v="Yes"/>
    <n v="1"/>
    <x v="2"/>
    <x v="2"/>
    <x v="40"/>
    <x v="2"/>
    <x v="1"/>
  </r>
  <r>
    <n v="22971"/>
    <x v="2"/>
    <x v="0"/>
    <n v="30000"/>
    <n v="0"/>
    <x v="2"/>
    <s v="Skilled Manual"/>
    <s v="No"/>
    <n v="2"/>
    <x v="0"/>
    <x v="2"/>
    <x v="37"/>
    <x v="2"/>
    <x v="1"/>
  </r>
  <r>
    <n v="15287"/>
    <x v="2"/>
    <x v="0"/>
    <n v="50000"/>
    <n v="1"/>
    <x v="4"/>
    <s v="Skilled Manual"/>
    <s v="Yes"/>
    <n v="0"/>
    <x v="3"/>
    <x v="2"/>
    <x v="6"/>
    <x v="0"/>
    <x v="1"/>
  </r>
  <r>
    <n v="15532"/>
    <x v="2"/>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2"/>
    <x v="0"/>
    <n v="40000"/>
    <n v="0"/>
    <x v="2"/>
    <s v="Skilled Manual"/>
    <s v="Yes"/>
    <n v="2"/>
    <x v="2"/>
    <x v="2"/>
    <x v="23"/>
    <x v="0"/>
    <x v="0"/>
  </r>
  <r>
    <n v="23248"/>
    <x v="0"/>
    <x v="0"/>
    <n v="10000"/>
    <n v="2"/>
    <x v="2"/>
    <s v="Manual"/>
    <s v="Yes"/>
    <n v="2"/>
    <x v="3"/>
    <x v="2"/>
    <x v="39"/>
    <x v="0"/>
    <x v="0"/>
  </r>
  <r>
    <n v="21417"/>
    <x v="2"/>
    <x v="0"/>
    <n v="60000"/>
    <n v="0"/>
    <x v="1"/>
    <s v="Professional"/>
    <s v="No"/>
    <n v="2"/>
    <x v="3"/>
    <x v="2"/>
    <x v="21"/>
    <x v="0"/>
    <x v="1"/>
  </r>
  <r>
    <n v="17668"/>
    <x v="2"/>
    <x v="1"/>
    <n v="30000"/>
    <n v="2"/>
    <x v="2"/>
    <s v="Skilled Manual"/>
    <s v="Yes"/>
    <n v="2"/>
    <x v="3"/>
    <x v="2"/>
    <x v="5"/>
    <x v="0"/>
    <x v="1"/>
  </r>
  <r>
    <n v="27994"/>
    <x v="0"/>
    <x v="0"/>
    <n v="40000"/>
    <n v="4"/>
    <x v="2"/>
    <s v="Professional"/>
    <s v="Yes"/>
    <n v="2"/>
    <x v="2"/>
    <x v="2"/>
    <x v="45"/>
    <x v="1"/>
    <x v="0"/>
  </r>
  <r>
    <n v="20376"/>
    <x v="2"/>
    <x v="0"/>
    <n v="70000"/>
    <n v="3"/>
    <x v="4"/>
    <s v="Management"/>
    <s v="Yes"/>
    <n v="2"/>
    <x v="2"/>
    <x v="2"/>
    <x v="31"/>
    <x v="0"/>
    <x v="1"/>
  </r>
  <r>
    <n v="25954"/>
    <x v="0"/>
    <x v="1"/>
    <n v="60000"/>
    <n v="0"/>
    <x v="1"/>
    <s v="Skilled Manual"/>
    <s v="No"/>
    <n v="2"/>
    <x v="3"/>
    <x v="2"/>
    <x v="23"/>
    <x v="0"/>
    <x v="0"/>
  </r>
  <r>
    <n v="15749"/>
    <x v="2"/>
    <x v="0"/>
    <n v="70000"/>
    <n v="4"/>
    <x v="0"/>
    <s v="Management"/>
    <s v="Yes"/>
    <n v="2"/>
    <x v="4"/>
    <x v="2"/>
    <x v="33"/>
    <x v="1"/>
    <x v="0"/>
  </r>
  <r>
    <n v="25899"/>
    <x v="0"/>
    <x v="0"/>
    <n v="70000"/>
    <n v="2"/>
    <x v="2"/>
    <s v="Professional"/>
    <s v="Yes"/>
    <n v="2"/>
    <x v="4"/>
    <x v="2"/>
    <x v="39"/>
    <x v="0"/>
    <x v="0"/>
  </r>
  <r>
    <n v="13351"/>
    <x v="2"/>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2"/>
    <x v="0"/>
    <n v="40000"/>
    <n v="0"/>
    <x v="2"/>
    <s v="Skilled Manual"/>
    <s v="Yes"/>
    <n v="2"/>
    <x v="2"/>
    <x v="2"/>
    <x v="25"/>
    <x v="2"/>
    <x v="0"/>
  </r>
  <r>
    <n v="29243"/>
    <x v="2"/>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2"/>
    <x v="0"/>
    <n v="70000"/>
    <n v="4"/>
    <x v="2"/>
    <s v="Professional"/>
    <s v="Yes"/>
    <n v="0"/>
    <x v="2"/>
    <x v="2"/>
    <x v="5"/>
    <x v="0"/>
    <x v="1"/>
  </r>
  <r>
    <n v="29048"/>
    <x v="2"/>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2"/>
    <x v="0"/>
    <n v="80000"/>
    <n v="3"/>
    <x v="0"/>
    <s v="Skilled Manual"/>
    <s v="Yes"/>
    <n v="2"/>
    <x v="1"/>
    <x v="2"/>
    <x v="3"/>
    <x v="0"/>
    <x v="1"/>
  </r>
  <r>
    <n v="20421"/>
    <x v="2"/>
    <x v="0"/>
    <n v="40000"/>
    <n v="0"/>
    <x v="3"/>
    <s v="Clerical"/>
    <s v="Yes"/>
    <n v="2"/>
    <x v="2"/>
    <x v="2"/>
    <x v="22"/>
    <x v="2"/>
    <x v="0"/>
  </r>
  <r>
    <n v="16009"/>
    <x v="2"/>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2"/>
    <x v="0"/>
    <n v="70000"/>
    <n v="0"/>
    <x v="0"/>
    <s v="Professional"/>
    <s v="No"/>
    <n v="1"/>
    <x v="0"/>
    <x v="2"/>
    <x v="34"/>
    <x v="0"/>
    <x v="1"/>
  </r>
  <r>
    <n v="19889"/>
    <x v="2"/>
    <x v="0"/>
    <n v="70000"/>
    <n v="2"/>
    <x v="3"/>
    <s v="Skilled Manual"/>
    <s v="No"/>
    <n v="2"/>
    <x v="1"/>
    <x v="2"/>
    <x v="9"/>
    <x v="0"/>
    <x v="1"/>
  </r>
  <r>
    <n v="12922"/>
    <x v="2"/>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2"/>
    <x v="0"/>
    <n v="80000"/>
    <n v="3"/>
    <x v="0"/>
    <s v="Skilled Manual"/>
    <s v="Yes"/>
    <n v="2"/>
    <x v="1"/>
    <x v="2"/>
    <x v="3"/>
    <x v="0"/>
    <x v="1"/>
  </r>
  <r>
    <n v="23882"/>
    <x v="2"/>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2"/>
    <x v="1"/>
    <n v="80000"/>
    <n v="2"/>
    <x v="3"/>
    <s v="Skilled Manual"/>
    <s v="No"/>
    <n v="2"/>
    <x v="3"/>
    <x v="2"/>
    <x v="31"/>
    <x v="0"/>
    <x v="0"/>
  </r>
  <r>
    <n v="22743"/>
    <x v="0"/>
    <x v="0"/>
    <n v="40000"/>
    <n v="5"/>
    <x v="2"/>
    <s v="Professional"/>
    <s v="Yes"/>
    <n v="2"/>
    <x v="4"/>
    <x v="2"/>
    <x v="2"/>
    <x v="1"/>
    <x v="0"/>
  </r>
  <r>
    <n v="25343"/>
    <x v="2"/>
    <x v="0"/>
    <n v="20000"/>
    <n v="3"/>
    <x v="3"/>
    <s v="Clerical"/>
    <s v="Yes"/>
    <n v="2"/>
    <x v="3"/>
    <x v="2"/>
    <x v="5"/>
    <x v="0"/>
    <x v="0"/>
  </r>
  <r>
    <n v="13390"/>
    <x v="0"/>
    <x v="0"/>
    <n v="70000"/>
    <n v="4"/>
    <x v="1"/>
    <s v="Professional"/>
    <s v="No"/>
    <n v="1"/>
    <x v="3"/>
    <x v="2"/>
    <x v="16"/>
    <x v="1"/>
    <x v="0"/>
  </r>
  <r>
    <n v="17482"/>
    <x v="2"/>
    <x v="0"/>
    <n v="40000"/>
    <n v="0"/>
    <x v="3"/>
    <s v="Clerical"/>
    <s v="Yes"/>
    <n v="2"/>
    <x v="2"/>
    <x v="2"/>
    <x v="19"/>
    <x v="2"/>
    <x v="0"/>
  </r>
  <r>
    <n v="13176"/>
    <x v="2"/>
    <x v="1"/>
    <n v="130000"/>
    <n v="0"/>
    <x v="4"/>
    <s v="Management"/>
    <s v="No"/>
    <n v="2"/>
    <x v="0"/>
    <x v="2"/>
    <x v="13"/>
    <x v="0"/>
    <x v="1"/>
  </r>
  <r>
    <n v="20504"/>
    <x v="0"/>
    <x v="0"/>
    <n v="40000"/>
    <n v="5"/>
    <x v="2"/>
    <s v="Professional"/>
    <s v="No"/>
    <n v="2"/>
    <x v="1"/>
    <x v="2"/>
    <x v="2"/>
    <x v="1"/>
    <x v="0"/>
  </r>
  <r>
    <n v="12205"/>
    <x v="2"/>
    <x v="0"/>
    <n v="130000"/>
    <n v="2"/>
    <x v="0"/>
    <s v="Management"/>
    <s v="No"/>
    <n v="4"/>
    <x v="0"/>
    <x v="2"/>
    <x v="41"/>
    <x v="1"/>
    <x v="0"/>
  </r>
  <r>
    <n v="16751"/>
    <x v="0"/>
    <x v="1"/>
    <n v="60000"/>
    <n v="0"/>
    <x v="1"/>
    <s v="Skilled Manual"/>
    <s v="Yes"/>
    <n v="1"/>
    <x v="2"/>
    <x v="2"/>
    <x v="21"/>
    <x v="0"/>
    <x v="1"/>
  </r>
  <r>
    <n v="21613"/>
    <x v="2"/>
    <x v="1"/>
    <n v="50000"/>
    <n v="2"/>
    <x v="0"/>
    <s v="Skilled Manual"/>
    <s v="No"/>
    <n v="1"/>
    <x v="0"/>
    <x v="2"/>
    <x v="32"/>
    <x v="0"/>
    <x v="1"/>
  </r>
  <r>
    <n v="24801"/>
    <x v="2"/>
    <x v="1"/>
    <n v="60000"/>
    <n v="1"/>
    <x v="4"/>
    <s v="Professional"/>
    <s v="Yes"/>
    <n v="0"/>
    <x v="1"/>
    <x v="2"/>
    <x v="11"/>
    <x v="0"/>
    <x v="1"/>
  </r>
  <r>
    <n v="17519"/>
    <x v="0"/>
    <x v="0"/>
    <n v="60000"/>
    <n v="0"/>
    <x v="1"/>
    <s v="Professional"/>
    <s v="Yes"/>
    <n v="2"/>
    <x v="2"/>
    <x v="2"/>
    <x v="21"/>
    <x v="0"/>
    <x v="0"/>
  </r>
  <r>
    <n v="18347"/>
    <x v="2"/>
    <x v="0"/>
    <n v="30000"/>
    <n v="0"/>
    <x v="1"/>
    <s v="Skilled Manual"/>
    <s v="No"/>
    <n v="1"/>
    <x v="3"/>
    <x v="2"/>
    <x v="23"/>
    <x v="0"/>
    <x v="0"/>
  </r>
  <r>
    <n v="29052"/>
    <x v="2"/>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2"/>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2"/>
    <x v="1"/>
    <n v="80000"/>
    <n v="0"/>
    <x v="0"/>
    <s v="Management"/>
    <s v="No"/>
    <n v="1"/>
    <x v="0"/>
    <x v="2"/>
    <x v="13"/>
    <x v="0"/>
    <x v="1"/>
  </r>
  <r>
    <n v="25041"/>
    <x v="2"/>
    <x v="1"/>
    <n v="40000"/>
    <n v="0"/>
    <x v="2"/>
    <s v="Skilled Manual"/>
    <s v="Yes"/>
    <n v="2"/>
    <x v="2"/>
    <x v="2"/>
    <x v="23"/>
    <x v="0"/>
    <x v="0"/>
  </r>
  <r>
    <n v="22046"/>
    <x v="2"/>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2"/>
    <x v="1"/>
    <n v="30000"/>
    <n v="5"/>
    <x v="3"/>
    <s v="Skilled Manual"/>
    <s v="Yes"/>
    <n v="3"/>
    <x v="4"/>
    <x v="2"/>
    <x v="2"/>
    <x v="1"/>
    <x v="1"/>
  </r>
  <r>
    <n v="26065"/>
    <x v="2"/>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2"/>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2"/>
    <x v="0"/>
    <n v="70000"/>
    <n v="2"/>
    <x v="0"/>
    <s v="Skilled Manual"/>
    <s v="Yes"/>
    <n v="0"/>
    <x v="1"/>
    <x v="2"/>
    <x v="13"/>
    <x v="0"/>
    <x v="1"/>
  </r>
  <r>
    <n v="18322"/>
    <x v="2"/>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2"/>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2"/>
    <x v="1"/>
    <n v="100000"/>
    <n v="1"/>
    <x v="4"/>
    <s v="Management"/>
    <s v="Yes"/>
    <n v="3"/>
    <x v="1"/>
    <x v="2"/>
    <x v="49"/>
    <x v="1"/>
    <x v="1"/>
  </r>
  <r>
    <n v="17000"/>
    <x v="2"/>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2"/>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2"/>
    <x v="0"/>
    <n v="60000"/>
    <n v="4"/>
    <x v="0"/>
    <s v="Skilled Manual"/>
    <s v="Yes"/>
    <n v="2"/>
    <x v="1"/>
    <x v="2"/>
    <x v="0"/>
    <x v="0"/>
    <x v="1"/>
  </r>
  <r>
    <n v="28858"/>
    <x v="2"/>
    <x v="1"/>
    <n v="80000"/>
    <n v="3"/>
    <x v="0"/>
    <s v="Skilled Manual"/>
    <s v="Yes"/>
    <n v="0"/>
    <x v="1"/>
    <x v="2"/>
    <x v="8"/>
    <x v="0"/>
    <x v="0"/>
  </r>
  <r>
    <n v="14432"/>
    <x v="2"/>
    <x v="1"/>
    <n v="90000"/>
    <n v="4"/>
    <x v="4"/>
    <s v="Management"/>
    <s v="Yes"/>
    <n v="1"/>
    <x v="2"/>
    <x v="2"/>
    <x v="49"/>
    <x v="1"/>
    <x v="0"/>
  </r>
  <r>
    <n v="26305"/>
    <x v="2"/>
    <x v="0"/>
    <n v="60000"/>
    <n v="2"/>
    <x v="0"/>
    <s v="Skilled Manual"/>
    <s v="No"/>
    <n v="0"/>
    <x v="0"/>
    <x v="2"/>
    <x v="4"/>
    <x v="0"/>
    <x v="1"/>
  </r>
  <r>
    <n v="22050"/>
    <x v="2"/>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2"/>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2"/>
    <x v="1"/>
    <n v="60000"/>
    <n v="2"/>
    <x v="0"/>
    <s v="Skilled Manual"/>
    <s v="Yes"/>
    <n v="0"/>
    <x v="1"/>
    <x v="2"/>
    <x v="4"/>
    <x v="0"/>
    <x v="1"/>
  </r>
  <r>
    <n v="21713"/>
    <x v="2"/>
    <x v="1"/>
    <n v="80000"/>
    <n v="5"/>
    <x v="4"/>
    <s v="Skilled Manual"/>
    <s v="No"/>
    <n v="0"/>
    <x v="0"/>
    <x v="2"/>
    <x v="15"/>
    <x v="0"/>
    <x v="0"/>
  </r>
  <r>
    <n v="21752"/>
    <x v="0"/>
    <x v="1"/>
    <n v="60000"/>
    <n v="3"/>
    <x v="4"/>
    <s v="Management"/>
    <s v="Yes"/>
    <n v="2"/>
    <x v="4"/>
    <x v="2"/>
    <x v="46"/>
    <x v="1"/>
    <x v="0"/>
  </r>
  <r>
    <n v="27273"/>
    <x v="2"/>
    <x v="1"/>
    <n v="70000"/>
    <n v="3"/>
    <x v="4"/>
    <s v="Professional"/>
    <s v="No"/>
    <n v="0"/>
    <x v="0"/>
    <x v="2"/>
    <x v="11"/>
    <x v="0"/>
    <x v="1"/>
  </r>
  <r>
    <n v="22719"/>
    <x v="2"/>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2"/>
    <x v="0"/>
    <n v="70000"/>
    <n v="3"/>
    <x v="1"/>
    <s v="Professional"/>
    <s v="Yes"/>
    <n v="1"/>
    <x v="2"/>
    <x v="2"/>
    <x v="38"/>
    <x v="0"/>
    <x v="1"/>
  </r>
  <r>
    <n v="16895"/>
    <x v="0"/>
    <x v="0"/>
    <n v="40000"/>
    <n v="3"/>
    <x v="1"/>
    <s v="Professional"/>
    <s v="No"/>
    <n v="2"/>
    <x v="3"/>
    <x v="2"/>
    <x v="9"/>
    <x v="0"/>
    <x v="1"/>
  </r>
  <r>
    <n v="26728"/>
    <x v="2"/>
    <x v="1"/>
    <n v="70000"/>
    <n v="3"/>
    <x v="4"/>
    <s v="Management"/>
    <s v="No"/>
    <n v="2"/>
    <x v="3"/>
    <x v="2"/>
    <x v="39"/>
    <x v="0"/>
    <x v="1"/>
  </r>
  <r>
    <n v="11090"/>
    <x v="2"/>
    <x v="1"/>
    <n v="90000"/>
    <n v="2"/>
    <x v="1"/>
    <s v="Professional"/>
    <s v="Yes"/>
    <n v="1"/>
    <x v="1"/>
    <x v="2"/>
    <x v="28"/>
    <x v="0"/>
    <x v="1"/>
  </r>
  <r>
    <n v="15862"/>
    <x v="2"/>
    <x v="0"/>
    <n v="50000"/>
    <n v="0"/>
    <x v="4"/>
    <s v="Skilled Manual"/>
    <s v="Yes"/>
    <n v="0"/>
    <x v="3"/>
    <x v="2"/>
    <x v="6"/>
    <x v="0"/>
    <x v="1"/>
  </r>
  <r>
    <n v="26495"/>
    <x v="2"/>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2"/>
    <x v="0"/>
    <n v="40000"/>
    <n v="0"/>
    <x v="2"/>
    <s v="Skilled Manual"/>
    <s v="No"/>
    <n v="2"/>
    <x v="0"/>
    <x v="2"/>
    <x v="40"/>
    <x v="2"/>
    <x v="1"/>
  </r>
  <r>
    <n v="11941"/>
    <x v="2"/>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2"/>
    <x v="1"/>
    <n v="80000"/>
    <n v="2"/>
    <x v="3"/>
    <s v="Skilled Manual"/>
    <s v="No"/>
    <n v="2"/>
    <x v="3"/>
    <x v="2"/>
    <x v="5"/>
    <x v="0"/>
    <x v="0"/>
  </r>
  <r>
    <n v="15292"/>
    <x v="2"/>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2"/>
    <x v="1"/>
    <n v="50000"/>
    <n v="2"/>
    <x v="0"/>
    <s v="Skilled Manual"/>
    <s v="No"/>
    <n v="1"/>
    <x v="0"/>
    <x v="2"/>
    <x v="13"/>
    <x v="0"/>
    <x v="1"/>
  </r>
  <r>
    <n v="13343"/>
    <x v="0"/>
    <x v="0"/>
    <n v="90000"/>
    <n v="5"/>
    <x v="0"/>
    <s v="Management"/>
    <s v="Yes"/>
    <n v="2"/>
    <x v="3"/>
    <x v="2"/>
    <x v="18"/>
    <x v="1"/>
    <x v="1"/>
  </r>
  <r>
    <n v="11303"/>
    <x v="2"/>
    <x v="0"/>
    <n v="90000"/>
    <n v="4"/>
    <x v="2"/>
    <s v="Professional"/>
    <s v="No"/>
    <n v="3"/>
    <x v="3"/>
    <x v="2"/>
    <x v="12"/>
    <x v="0"/>
    <x v="1"/>
  </r>
  <r>
    <n v="21693"/>
    <x v="2"/>
    <x v="0"/>
    <n v="60000"/>
    <n v="0"/>
    <x v="4"/>
    <s v="Skilled Manual"/>
    <s v="No"/>
    <n v="0"/>
    <x v="0"/>
    <x v="2"/>
    <x v="8"/>
    <x v="0"/>
    <x v="0"/>
  </r>
  <r>
    <n v="28056"/>
    <x v="0"/>
    <x v="1"/>
    <n v="70000"/>
    <n v="2"/>
    <x v="3"/>
    <s v="Skilled Manual"/>
    <s v="Yes"/>
    <n v="2"/>
    <x v="4"/>
    <x v="2"/>
    <x v="39"/>
    <x v="0"/>
    <x v="0"/>
  </r>
  <r>
    <n v="11788"/>
    <x v="2"/>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2"/>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2"/>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2"/>
    <x v="1"/>
    <n v="70000"/>
    <n v="4"/>
    <x v="1"/>
    <s v="Professional"/>
    <s v="Yes"/>
    <n v="1"/>
    <x v="4"/>
    <x v="2"/>
    <x v="16"/>
    <x v="1"/>
    <x v="0"/>
  </r>
  <r>
    <n v="27756"/>
    <x v="2"/>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2"/>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2"/>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2"/>
    <x v="0"/>
    <n v="80000"/>
    <n v="4"/>
    <x v="4"/>
    <s v="Management"/>
    <s v="Yes"/>
    <n v="2"/>
    <x v="2"/>
    <x v="2"/>
    <x v="27"/>
    <x v="1"/>
    <x v="0"/>
  </r>
  <r>
    <n v="17450"/>
    <x v="0"/>
    <x v="1"/>
    <n v="80000"/>
    <n v="5"/>
    <x v="1"/>
    <s v="Professional"/>
    <s v="Yes"/>
    <n v="3"/>
    <x v="2"/>
    <x v="2"/>
    <x v="12"/>
    <x v="0"/>
    <x v="0"/>
  </r>
  <r>
    <n v="17337"/>
    <x v="2"/>
    <x v="1"/>
    <n v="40000"/>
    <n v="0"/>
    <x v="2"/>
    <s v="Skilled Manual"/>
    <s v="Yes"/>
    <n v="1"/>
    <x v="2"/>
    <x v="2"/>
    <x v="23"/>
    <x v="0"/>
    <x v="0"/>
  </r>
  <r>
    <n v="18594"/>
    <x v="2"/>
    <x v="0"/>
    <n v="80000"/>
    <n v="3"/>
    <x v="0"/>
    <s v="Skilled Manual"/>
    <s v="Yes"/>
    <n v="3"/>
    <x v="4"/>
    <x v="2"/>
    <x v="8"/>
    <x v="0"/>
    <x v="1"/>
  </r>
  <r>
    <n v="15982"/>
    <x v="0"/>
    <x v="1"/>
    <n v="110000"/>
    <n v="5"/>
    <x v="1"/>
    <s v="Professional"/>
    <s v="Yes"/>
    <n v="4"/>
    <x v="1"/>
    <x v="2"/>
    <x v="30"/>
    <x v="0"/>
    <x v="0"/>
  </r>
  <r>
    <n v="28625"/>
    <x v="2"/>
    <x v="1"/>
    <n v="40000"/>
    <n v="2"/>
    <x v="1"/>
    <s v="Clerical"/>
    <s v="No"/>
    <n v="1"/>
    <x v="3"/>
    <x v="2"/>
    <x v="15"/>
    <x v="0"/>
    <x v="1"/>
  </r>
  <r>
    <n v="11269"/>
    <x v="0"/>
    <x v="1"/>
    <n v="130000"/>
    <n v="2"/>
    <x v="4"/>
    <s v="Management"/>
    <s v="Yes"/>
    <n v="2"/>
    <x v="0"/>
    <x v="2"/>
    <x v="3"/>
    <x v="0"/>
    <x v="0"/>
  </r>
  <r>
    <n v="25148"/>
    <x v="0"/>
    <x v="1"/>
    <n v="60000"/>
    <n v="2"/>
    <x v="2"/>
    <s v="Professional"/>
    <s v="No"/>
    <n v="2"/>
    <x v="3"/>
    <x v="2"/>
    <x v="28"/>
    <x v="0"/>
    <x v="1"/>
  </r>
  <r>
    <n v="13920"/>
    <x v="2"/>
    <x v="0"/>
    <n v="50000"/>
    <n v="4"/>
    <x v="0"/>
    <s v="Skilled Manual"/>
    <s v="Yes"/>
    <n v="2"/>
    <x v="0"/>
    <x v="2"/>
    <x v="0"/>
    <x v="0"/>
    <x v="0"/>
  </r>
  <r>
    <n v="23704"/>
    <x v="2"/>
    <x v="1"/>
    <n v="40000"/>
    <n v="5"/>
    <x v="2"/>
    <s v="Professional"/>
    <s v="Yes"/>
    <n v="4"/>
    <x v="4"/>
    <x v="2"/>
    <x v="2"/>
    <x v="1"/>
    <x v="1"/>
  </r>
  <r>
    <n v="28972"/>
    <x v="2"/>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2"/>
    <x v="0"/>
    <n v="30000"/>
    <n v="0"/>
    <x v="2"/>
    <s v="Skilled Manual"/>
    <s v="No"/>
    <n v="2"/>
    <x v="2"/>
    <x v="2"/>
    <x v="22"/>
    <x v="2"/>
    <x v="0"/>
  </r>
  <r>
    <n v="19117"/>
    <x v="2"/>
    <x v="0"/>
    <n v="60000"/>
    <n v="1"/>
    <x v="4"/>
    <s v="Professional"/>
    <s v="Yes"/>
    <n v="0"/>
    <x v="1"/>
    <x v="2"/>
    <x v="4"/>
    <x v="0"/>
    <x v="1"/>
  </r>
  <r>
    <n v="22864"/>
    <x v="0"/>
    <x v="1"/>
    <n v="90000"/>
    <n v="2"/>
    <x v="1"/>
    <s v="Professional"/>
    <s v="No"/>
    <n v="0"/>
    <x v="2"/>
    <x v="2"/>
    <x v="38"/>
    <x v="0"/>
    <x v="1"/>
  </r>
  <r>
    <n v="11292"/>
    <x v="2"/>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2"/>
    <x v="1"/>
    <n v="70000"/>
    <n v="4"/>
    <x v="4"/>
    <s v="Professional"/>
    <s v="Yes"/>
    <n v="0"/>
    <x v="1"/>
    <x v="2"/>
    <x v="11"/>
    <x v="0"/>
    <x v="1"/>
  </r>
  <r>
    <n v="11809"/>
    <x v="0"/>
    <x v="1"/>
    <n v="60000"/>
    <n v="2"/>
    <x v="0"/>
    <s v="Skilled Manual"/>
    <s v="Yes"/>
    <n v="0"/>
    <x v="0"/>
    <x v="2"/>
    <x v="13"/>
    <x v="0"/>
    <x v="1"/>
  </r>
  <r>
    <n v="19664"/>
    <x v="2"/>
    <x v="1"/>
    <n v="100000"/>
    <n v="3"/>
    <x v="0"/>
    <s v="Management"/>
    <s v="No"/>
    <n v="3"/>
    <x v="3"/>
    <x v="2"/>
    <x v="13"/>
    <x v="0"/>
    <x v="0"/>
  </r>
  <r>
    <n v="12121"/>
    <x v="2"/>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9792A6-0AAB-4045-B87B-6D6B5B9D11C6}"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7:D132"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928D5B-DBC6-4E15-BE62-A29182B39B7B}"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3:D58" firstHeaderRow="1" firstDataRow="2" firstDataCol="1"/>
  <pivotFields count="14">
    <pivotField showAll="0"/>
    <pivotField showAll="0">
      <items count="4">
        <item x="0"/>
        <item x="2"/>
        <item x="1"/>
        <item t="default"/>
      </items>
    </pivotField>
    <pivotField showAll="0"/>
    <pivotField numFmtId="164"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373922-DCF7-48E7-B01B-5FFC5C941DBD}"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9:D36" firstHeaderRow="1" firstDataRow="2" firstDataCol="1"/>
  <pivotFields count="14">
    <pivotField showAll="0"/>
    <pivotField showAll="0">
      <items count="4">
        <item x="0"/>
        <item x="2"/>
        <item x="1"/>
        <item t="default"/>
      </items>
    </pivotField>
    <pivotField showAll="0"/>
    <pivotField numFmtId="164" showAll="0"/>
    <pivotField showAll="0"/>
    <pivotField showAll="0"/>
    <pivotField showAll="0"/>
    <pivotField showAll="0"/>
    <pivotField showAll="0"/>
    <pivotField axis="axisRow" showAll="0" sortType="ascending">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931B8D-BF7F-42AC-AFB2-7FD29E5A2FF3}"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4">
        <item x="0"/>
        <item x="2"/>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10">
    <format dxfId="349">
      <pivotArea type="all" dataOnly="0" outline="0" fieldPosition="0"/>
    </format>
    <format dxfId="348">
      <pivotArea outline="0" collapsedLevelsAreSubtotals="1" fieldPosition="0"/>
    </format>
    <format dxfId="347">
      <pivotArea type="origin" dataOnly="0" labelOnly="1" outline="0" fieldPosition="0"/>
    </format>
    <format dxfId="346">
      <pivotArea field="13" type="button" dataOnly="0" labelOnly="1" outline="0" axis="axisCol" fieldPosition="0"/>
    </format>
    <format dxfId="345">
      <pivotArea type="topRight" dataOnly="0" labelOnly="1" outline="0" fieldPosition="0"/>
    </format>
    <format dxfId="344">
      <pivotArea field="2" type="button" dataOnly="0" labelOnly="1" outline="0" axis="axisRow" fieldPosition="0"/>
    </format>
    <format dxfId="343">
      <pivotArea dataOnly="0" labelOnly="1" fieldPosition="0">
        <references count="1">
          <reference field="2" count="0"/>
        </references>
      </pivotArea>
    </format>
    <format dxfId="342">
      <pivotArea dataOnly="0" labelOnly="1" grandRow="1" outline="0" fieldPosition="0"/>
    </format>
    <format dxfId="341">
      <pivotArea dataOnly="0" labelOnly="1" fieldPosition="0">
        <references count="1">
          <reference field="13" count="0"/>
        </references>
      </pivotArea>
    </format>
    <format dxfId="340">
      <pivotArea dataOnly="0" labelOnly="1" grandCol="1" outline="0"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eital_Status" xr10:uid="{F39289B3-A37B-4934-9E0D-A561CB885363}" sourceName="Marieital Status">
  <pivotTables>
    <pivotTable tabId="3" name="PivotTable1"/>
    <pivotTable tabId="3" name="PivotTable2"/>
    <pivotTable tabId="3" name="PivotTable3"/>
  </pivotTables>
  <data>
    <tabular pivotCacheId="163135800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E2CBF50-4A88-4861-8815-3A21AAC11B50}" sourceName="Education">
  <pivotTables>
    <pivotTable tabId="3" name="PivotTable1"/>
  </pivotTables>
  <data>
    <tabular pivotCacheId="1631358009">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2B0ACE-5EBC-4173-88B7-05F3348C5D2A}" sourceName="Region">
  <pivotTables>
    <pivotTable tabId="3" name="PivotTable1"/>
  </pivotTables>
  <data>
    <tabular pivotCacheId="16313580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eital Status" xr10:uid="{1685BD48-E79D-451A-A6B1-AD644D0C4EC1}" cache="Slicer_Marieital_Status" caption="Marieital Status" rowHeight="241300"/>
  <slicer name="Education" xr10:uid="{C20E494A-9CDF-41A0-A090-BD17FAD821B0}" cache="Slicer_Education" caption="Education" rowHeight="241300"/>
  <slicer name="Region" xr10:uid="{C697C5B5-78D3-4738-BB77-AAAB1B3CD746}"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J11"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340E5-AA0A-4758-88DE-BA8866492EF7}">
  <dimension ref="A1:N1001"/>
  <sheetViews>
    <sheetView workbookViewId="0">
      <selection activeCell="M2" sqref="M2"/>
    </sheetView>
  </sheetViews>
  <sheetFormatPr defaultRowHeight="15" x14ac:dyDescent="0.25"/>
  <cols>
    <col min="2" max="2" width="30.28515625" bestFit="1" customWidth="1"/>
    <col min="3" max="3" width="9.85546875" bestFit="1" customWidth="1"/>
    <col min="4" max="4" width="33.5703125" customWidth="1"/>
    <col min="5" max="5" width="28.28515625" customWidth="1"/>
    <col min="6" max="6" width="21.42578125" customWidth="1"/>
    <col min="7" max="7" width="20.7109375" customWidth="1"/>
    <col min="8" max="8" width="15" bestFit="1" customWidth="1"/>
    <col min="9" max="9" width="12.42578125" customWidth="1"/>
    <col min="10" max="10" width="33.7109375" customWidth="1"/>
    <col min="11" max="11" width="14" bestFit="1" customWidth="1"/>
    <col min="12" max="12" width="9.7109375" customWidth="1"/>
    <col min="13" max="13" width="14.5703125" customWidth="1"/>
    <col min="14" max="14" width="16.85546875" bestFit="1" customWidth="1"/>
  </cols>
  <sheetData>
    <row r="1" spans="1:14" s="3" customFormat="1" x14ac:dyDescent="0.25">
      <c r="A1" s="3" t="s">
        <v>0</v>
      </c>
      <c r="B1" s="3" t="s">
        <v>42</v>
      </c>
      <c r="C1" s="3" t="s">
        <v>2</v>
      </c>
      <c r="D1" s="3" t="s">
        <v>3</v>
      </c>
      <c r="E1" s="3" t="s">
        <v>4</v>
      </c>
      <c r="F1" s="3" t="s">
        <v>5</v>
      </c>
      <c r="G1" s="3" t="s">
        <v>6</v>
      </c>
      <c r="H1" s="3" t="s">
        <v>7</v>
      </c>
      <c r="I1" s="3" t="s">
        <v>8</v>
      </c>
      <c r="J1" s="3" t="s">
        <v>9</v>
      </c>
      <c r="K1" s="3" t="s">
        <v>10</v>
      </c>
      <c r="L1" s="3" t="s">
        <v>11</v>
      </c>
      <c r="M1" s="3" t="s">
        <v>41</v>
      </c>
      <c r="N1" s="3" t="s">
        <v>12</v>
      </c>
    </row>
    <row r="2" spans="1:14" x14ac:dyDescent="0.25">
      <c r="A2">
        <v>12496</v>
      </c>
      <c r="B2" t="s">
        <v>36</v>
      </c>
      <c r="C2" t="s">
        <v>39</v>
      </c>
      <c r="D2" s="1">
        <v>40000</v>
      </c>
      <c r="E2">
        <v>1</v>
      </c>
      <c r="F2" t="s">
        <v>13</v>
      </c>
      <c r="G2" t="s">
        <v>14</v>
      </c>
      <c r="H2" t="s">
        <v>15</v>
      </c>
      <c r="I2">
        <v>0</v>
      </c>
      <c r="J2" t="s">
        <v>16</v>
      </c>
      <c r="K2" t="s">
        <v>17</v>
      </c>
      <c r="L2">
        <v>42</v>
      </c>
      <c r="M2" t="str">
        <f>IF(L2&gt;55,"Old",IF(L2&gt;=31,"Middle Age",IF(L2&lt;31,"Adolescent","Invalid")))</f>
        <v>Middle Age</v>
      </c>
      <c r="N2" t="s">
        <v>18</v>
      </c>
    </row>
    <row r="3" spans="1:14" x14ac:dyDescent="0.25">
      <c r="A3">
        <v>24107</v>
      </c>
      <c r="B3" t="s">
        <v>36</v>
      </c>
      <c r="C3" t="s">
        <v>40</v>
      </c>
      <c r="D3" s="1">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25">
      <c r="A4">
        <v>14177</v>
      </c>
      <c r="B4" t="s">
        <v>36</v>
      </c>
      <c r="C4" t="s">
        <v>40</v>
      </c>
      <c r="D4" s="1">
        <v>80000</v>
      </c>
      <c r="E4">
        <v>5</v>
      </c>
      <c r="F4" t="s">
        <v>19</v>
      </c>
      <c r="G4" t="s">
        <v>21</v>
      </c>
      <c r="H4" t="s">
        <v>18</v>
      </c>
      <c r="I4">
        <v>2</v>
      </c>
      <c r="J4" t="s">
        <v>22</v>
      </c>
      <c r="K4" t="s">
        <v>17</v>
      </c>
      <c r="L4">
        <v>60</v>
      </c>
      <c r="M4" t="str">
        <f t="shared" si="0"/>
        <v>Old</v>
      </c>
      <c r="N4" t="s">
        <v>18</v>
      </c>
    </row>
    <row r="5" spans="1:14" x14ac:dyDescent="0.25">
      <c r="A5">
        <v>24381</v>
      </c>
      <c r="B5" t="s">
        <v>38</v>
      </c>
      <c r="C5" t="s">
        <v>40</v>
      </c>
      <c r="D5" s="1">
        <v>70000</v>
      </c>
      <c r="E5">
        <v>0</v>
      </c>
      <c r="F5" t="s">
        <v>13</v>
      </c>
      <c r="G5" t="s">
        <v>21</v>
      </c>
      <c r="H5" t="s">
        <v>15</v>
      </c>
      <c r="I5">
        <v>1</v>
      </c>
      <c r="J5" t="s">
        <v>23</v>
      </c>
      <c r="K5" t="s">
        <v>24</v>
      </c>
      <c r="L5">
        <v>41</v>
      </c>
      <c r="M5" t="str">
        <f t="shared" si="0"/>
        <v>Middle Age</v>
      </c>
      <c r="N5" t="s">
        <v>15</v>
      </c>
    </row>
    <row r="6" spans="1:14" x14ac:dyDescent="0.25">
      <c r="A6">
        <v>25597</v>
      </c>
      <c r="B6" t="s">
        <v>37</v>
      </c>
      <c r="C6" t="s">
        <v>40</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40</v>
      </c>
      <c r="D8" s="1">
        <v>160000</v>
      </c>
      <c r="E8">
        <v>2</v>
      </c>
      <c r="F8" t="s">
        <v>27</v>
      </c>
      <c r="G8" t="s">
        <v>28</v>
      </c>
      <c r="H8" t="s">
        <v>15</v>
      </c>
      <c r="I8">
        <v>4</v>
      </c>
      <c r="J8" t="s">
        <v>16</v>
      </c>
      <c r="K8" t="s">
        <v>24</v>
      </c>
      <c r="L8">
        <v>33</v>
      </c>
      <c r="M8" t="str">
        <f t="shared" si="0"/>
        <v>Middle Age</v>
      </c>
      <c r="N8" t="s">
        <v>15</v>
      </c>
    </row>
    <row r="9" spans="1:14" x14ac:dyDescent="0.25">
      <c r="A9">
        <v>19364</v>
      </c>
      <c r="B9" t="s">
        <v>36</v>
      </c>
      <c r="C9" t="s">
        <v>40</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40</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40</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48</v>
      </c>
      <c r="K13" t="s">
        <v>24</v>
      </c>
      <c r="L13">
        <v>36</v>
      </c>
      <c r="M13" t="str">
        <f t="shared" si="0"/>
        <v>Middle Age</v>
      </c>
      <c r="N13" t="s">
        <v>18</v>
      </c>
    </row>
    <row r="14" spans="1:14" x14ac:dyDescent="0.25">
      <c r="A14">
        <v>11434</v>
      </c>
      <c r="B14" t="s">
        <v>36</v>
      </c>
      <c r="C14" t="s">
        <v>40</v>
      </c>
      <c r="D14" s="1">
        <v>170000</v>
      </c>
      <c r="E14">
        <v>5</v>
      </c>
      <c r="F14" t="s">
        <v>19</v>
      </c>
      <c r="G14" t="s">
        <v>21</v>
      </c>
      <c r="H14" t="s">
        <v>15</v>
      </c>
      <c r="I14">
        <v>0</v>
      </c>
      <c r="J14" t="s">
        <v>16</v>
      </c>
      <c r="K14" t="s">
        <v>17</v>
      </c>
      <c r="L14">
        <v>55</v>
      </c>
      <c r="M14" t="str">
        <f t="shared" si="0"/>
        <v>Middle Age</v>
      </c>
      <c r="N14" t="s">
        <v>18</v>
      </c>
    </row>
    <row r="15" spans="1:14" x14ac:dyDescent="0.25">
      <c r="A15">
        <v>25323</v>
      </c>
      <c r="B15" t="s">
        <v>36</v>
      </c>
      <c r="C15" t="s">
        <v>40</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40</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40</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40</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40</v>
      </c>
      <c r="D21" s="1">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48</v>
      </c>
      <c r="K23" t="s">
        <v>24</v>
      </c>
      <c r="L23">
        <v>35</v>
      </c>
      <c r="M23" t="str">
        <f t="shared" si="0"/>
        <v>Middle Age</v>
      </c>
      <c r="N23" t="s">
        <v>18</v>
      </c>
    </row>
    <row r="24" spans="1:14" x14ac:dyDescent="0.25">
      <c r="A24">
        <v>19193</v>
      </c>
      <c r="B24" t="s">
        <v>37</v>
      </c>
      <c r="C24" t="s">
        <v>40</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40</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40</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40</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40</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40</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40</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40</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40</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40</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40</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40</v>
      </c>
      <c r="D53" s="1">
        <v>80000</v>
      </c>
      <c r="E53">
        <v>0</v>
      </c>
      <c r="F53" t="s">
        <v>13</v>
      </c>
      <c r="G53" t="s">
        <v>21</v>
      </c>
      <c r="H53" t="s">
        <v>18</v>
      </c>
      <c r="I53">
        <v>4</v>
      </c>
      <c r="J53" t="s">
        <v>48</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40</v>
      </c>
      <c r="D57" s="1">
        <v>80000</v>
      </c>
      <c r="E57">
        <v>4</v>
      </c>
      <c r="F57" t="s">
        <v>27</v>
      </c>
      <c r="G57" t="s">
        <v>21</v>
      </c>
      <c r="H57" t="s">
        <v>15</v>
      </c>
      <c r="I57">
        <v>2</v>
      </c>
      <c r="J57" t="s">
        <v>48</v>
      </c>
      <c r="K57" t="s">
        <v>17</v>
      </c>
      <c r="L57">
        <v>54</v>
      </c>
      <c r="M57" t="str">
        <f t="shared" si="0"/>
        <v>Middle Age</v>
      </c>
      <c r="N57" t="s">
        <v>18</v>
      </c>
    </row>
    <row r="58" spans="1:14" x14ac:dyDescent="0.25">
      <c r="A58">
        <v>12808</v>
      </c>
      <c r="B58" t="s">
        <v>36</v>
      </c>
      <c r="C58" t="s">
        <v>40</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40</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40</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40</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40</v>
      </c>
      <c r="D65" s="1">
        <v>60000</v>
      </c>
      <c r="E65">
        <v>4</v>
      </c>
      <c r="F65" t="s">
        <v>13</v>
      </c>
      <c r="G65" t="s">
        <v>21</v>
      </c>
      <c r="H65" t="s">
        <v>15</v>
      </c>
      <c r="I65">
        <v>3</v>
      </c>
      <c r="J65" t="s">
        <v>48</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40</v>
      </c>
      <c r="D67" s="1">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40</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40</v>
      </c>
      <c r="D72" s="1">
        <v>120000</v>
      </c>
      <c r="E72">
        <v>0</v>
      </c>
      <c r="F72" t="s">
        <v>29</v>
      </c>
      <c r="G72" t="s">
        <v>21</v>
      </c>
      <c r="H72" t="s">
        <v>15</v>
      </c>
      <c r="I72">
        <v>4</v>
      </c>
      <c r="J72" t="s">
        <v>48</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40</v>
      </c>
      <c r="D79" s="1">
        <v>80000</v>
      </c>
      <c r="E79">
        <v>0</v>
      </c>
      <c r="F79" t="s">
        <v>13</v>
      </c>
      <c r="G79" t="s">
        <v>21</v>
      </c>
      <c r="H79" t="s">
        <v>15</v>
      </c>
      <c r="I79">
        <v>2</v>
      </c>
      <c r="J79" t="s">
        <v>48</v>
      </c>
      <c r="K79" t="s">
        <v>24</v>
      </c>
      <c r="L79">
        <v>29</v>
      </c>
      <c r="M79" t="str">
        <f t="shared" si="1"/>
        <v>Adolescent</v>
      </c>
      <c r="N79" t="s">
        <v>15</v>
      </c>
    </row>
    <row r="80" spans="1:14" x14ac:dyDescent="0.25">
      <c r="A80">
        <v>15752</v>
      </c>
      <c r="B80" t="s">
        <v>36</v>
      </c>
      <c r="C80" t="s">
        <v>40</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40</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40</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40</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40</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40</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40</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40</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40</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40</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40</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1">
        <v>90000</v>
      </c>
      <c r="E97">
        <v>5</v>
      </c>
      <c r="F97" t="s">
        <v>19</v>
      </c>
      <c r="G97" t="s">
        <v>21</v>
      </c>
      <c r="H97" t="s">
        <v>15</v>
      </c>
      <c r="I97">
        <v>2</v>
      </c>
      <c r="J97" t="s">
        <v>48</v>
      </c>
      <c r="K97" t="s">
        <v>17</v>
      </c>
      <c r="L97">
        <v>62</v>
      </c>
      <c r="M97" t="str">
        <f t="shared" si="1"/>
        <v>Old</v>
      </c>
      <c r="N97" t="s">
        <v>18</v>
      </c>
    </row>
    <row r="98" spans="1:14" x14ac:dyDescent="0.25">
      <c r="A98">
        <v>12507</v>
      </c>
      <c r="B98" t="s">
        <v>36</v>
      </c>
      <c r="C98" t="s">
        <v>40</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40</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40</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40</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40</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40</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40</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40</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40</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40</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40</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40</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40</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48</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40</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40</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40</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40</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40</v>
      </c>
      <c r="D131" s="1">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25">
      <c r="A132">
        <v>12993</v>
      </c>
      <c r="B132" t="s">
        <v>36</v>
      </c>
      <c r="C132" t="s">
        <v>40</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40</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40</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40</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40</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40</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40</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40</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48</v>
      </c>
      <c r="K145" t="s">
        <v>24</v>
      </c>
      <c r="L145">
        <v>32</v>
      </c>
      <c r="M145" t="str">
        <f t="shared" si="2"/>
        <v>Middle Age</v>
      </c>
      <c r="N145" t="s">
        <v>18</v>
      </c>
    </row>
    <row r="146" spans="1:14" x14ac:dyDescent="0.25">
      <c r="A146">
        <v>20877</v>
      </c>
      <c r="B146" t="s">
        <v>37</v>
      </c>
      <c r="C146" t="s">
        <v>40</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40</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40</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40</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40</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40</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40</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40</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40</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40</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40</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40</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40</v>
      </c>
      <c r="D169" s="1">
        <v>100000</v>
      </c>
      <c r="E169">
        <v>0</v>
      </c>
      <c r="F169" t="s">
        <v>27</v>
      </c>
      <c r="G169" t="s">
        <v>28</v>
      </c>
      <c r="H169" t="s">
        <v>15</v>
      </c>
      <c r="I169">
        <v>3</v>
      </c>
      <c r="J169" t="s">
        <v>48</v>
      </c>
      <c r="K169" t="s">
        <v>24</v>
      </c>
      <c r="L169">
        <v>35</v>
      </c>
      <c r="M169" t="str">
        <f t="shared" si="2"/>
        <v>Middle Age</v>
      </c>
      <c r="N169" t="s">
        <v>18</v>
      </c>
    </row>
    <row r="170" spans="1:14" x14ac:dyDescent="0.25">
      <c r="A170">
        <v>14058</v>
      </c>
      <c r="B170" t="s">
        <v>37</v>
      </c>
      <c r="C170" t="s">
        <v>40</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40</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40</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40</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40</v>
      </c>
      <c r="D180" s="1">
        <v>160000</v>
      </c>
      <c r="E180">
        <v>4</v>
      </c>
      <c r="F180" t="s">
        <v>19</v>
      </c>
      <c r="G180" t="s">
        <v>21</v>
      </c>
      <c r="H180" t="s">
        <v>18</v>
      </c>
      <c r="I180">
        <v>2</v>
      </c>
      <c r="J180" t="s">
        <v>48</v>
      </c>
      <c r="K180" t="s">
        <v>17</v>
      </c>
      <c r="L180">
        <v>55</v>
      </c>
      <c r="M180" t="str">
        <f t="shared" si="2"/>
        <v>Middle Age</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40</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40</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
        <v>130000</v>
      </c>
      <c r="E186">
        <v>4</v>
      </c>
      <c r="F186" t="s">
        <v>27</v>
      </c>
      <c r="G186" t="s">
        <v>28</v>
      </c>
      <c r="H186" t="s">
        <v>18</v>
      </c>
      <c r="I186">
        <v>4</v>
      </c>
      <c r="J186" t="s">
        <v>48</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40</v>
      </c>
      <c r="D189" s="1">
        <v>80000</v>
      </c>
      <c r="E189">
        <v>5</v>
      </c>
      <c r="F189" t="s">
        <v>19</v>
      </c>
      <c r="G189" t="s">
        <v>21</v>
      </c>
      <c r="H189" t="s">
        <v>18</v>
      </c>
      <c r="I189">
        <v>2</v>
      </c>
      <c r="J189" t="s">
        <v>48</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48</v>
      </c>
      <c r="K190" t="s">
        <v>24</v>
      </c>
      <c r="L190">
        <v>32</v>
      </c>
      <c r="M190" t="str">
        <f t="shared" si="2"/>
        <v>Middle Age</v>
      </c>
      <c r="N190" t="s">
        <v>15</v>
      </c>
    </row>
    <row r="191" spans="1:14" x14ac:dyDescent="0.25">
      <c r="A191">
        <v>19482</v>
      </c>
      <c r="B191" t="s">
        <v>36</v>
      </c>
      <c r="C191" t="s">
        <v>40</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40</v>
      </c>
      <c r="D192" s="1">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40</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48</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48</v>
      </c>
      <c r="K195" t="s">
        <v>24</v>
      </c>
      <c r="L195">
        <v>41</v>
      </c>
      <c r="M195" t="str">
        <f t="shared" ref="M195:M258" si="3">IF(L195&gt;55,"Old",IF(L195&gt;=31,"Middle Age",IF(L195&lt;31,"Adolescent","Invalid")))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40</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40</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40</v>
      </c>
      <c r="D201" s="1">
        <v>80000</v>
      </c>
      <c r="E201">
        <v>0</v>
      </c>
      <c r="F201" t="s">
        <v>13</v>
      </c>
      <c r="G201" t="s">
        <v>21</v>
      </c>
      <c r="H201" t="s">
        <v>18</v>
      </c>
      <c r="I201">
        <v>3</v>
      </c>
      <c r="J201" t="s">
        <v>48</v>
      </c>
      <c r="K201" t="s">
        <v>24</v>
      </c>
      <c r="L201">
        <v>33</v>
      </c>
      <c r="M201" t="str">
        <f t="shared" si="3"/>
        <v>Middle Age</v>
      </c>
      <c r="N201" t="s">
        <v>15</v>
      </c>
    </row>
    <row r="202" spans="1:14" x14ac:dyDescent="0.25">
      <c r="A202">
        <v>24584</v>
      </c>
      <c r="B202" t="s">
        <v>37</v>
      </c>
      <c r="C202" t="s">
        <v>40</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40</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40</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40</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40</v>
      </c>
      <c r="D208" s="1">
        <v>90000</v>
      </c>
      <c r="E208">
        <v>5</v>
      </c>
      <c r="F208" t="s">
        <v>19</v>
      </c>
      <c r="G208" t="s">
        <v>21</v>
      </c>
      <c r="H208" t="s">
        <v>18</v>
      </c>
      <c r="I208">
        <v>2</v>
      </c>
      <c r="J208" t="s">
        <v>48</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40</v>
      </c>
      <c r="D215" s="1">
        <v>70000</v>
      </c>
      <c r="E215">
        <v>0</v>
      </c>
      <c r="F215" t="s">
        <v>13</v>
      </c>
      <c r="G215" t="s">
        <v>21</v>
      </c>
      <c r="H215" t="s">
        <v>18</v>
      </c>
      <c r="I215">
        <v>4</v>
      </c>
      <c r="J215" t="s">
        <v>48</v>
      </c>
      <c r="K215" t="s">
        <v>24</v>
      </c>
      <c r="L215">
        <v>31</v>
      </c>
      <c r="M215" t="str">
        <f t="shared" si="3"/>
        <v>Middle Age</v>
      </c>
      <c r="N215" t="s">
        <v>15</v>
      </c>
    </row>
    <row r="216" spans="1:14" x14ac:dyDescent="0.25">
      <c r="A216">
        <v>25553</v>
      </c>
      <c r="B216" t="s">
        <v>36</v>
      </c>
      <c r="C216" t="s">
        <v>40</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40</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40</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40</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40</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40</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40</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48</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40</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40</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40</v>
      </c>
      <c r="D231" s="1">
        <v>80000</v>
      </c>
      <c r="E231">
        <v>5</v>
      </c>
      <c r="F231" t="s">
        <v>27</v>
      </c>
      <c r="G231" t="s">
        <v>28</v>
      </c>
      <c r="H231" t="s">
        <v>15</v>
      </c>
      <c r="I231">
        <v>3</v>
      </c>
      <c r="J231" t="s">
        <v>48</v>
      </c>
      <c r="K231" t="s">
        <v>17</v>
      </c>
      <c r="L231">
        <v>57</v>
      </c>
      <c r="M231" t="str">
        <f t="shared" si="3"/>
        <v>Old</v>
      </c>
      <c r="N231" t="s">
        <v>18</v>
      </c>
    </row>
    <row r="232" spans="1:14" x14ac:dyDescent="0.25">
      <c r="A232">
        <v>22830</v>
      </c>
      <c r="B232" t="s">
        <v>36</v>
      </c>
      <c r="C232" t="s">
        <v>40</v>
      </c>
      <c r="D232" s="1">
        <v>120000</v>
      </c>
      <c r="E232">
        <v>4</v>
      </c>
      <c r="F232" t="s">
        <v>19</v>
      </c>
      <c r="G232" t="s">
        <v>28</v>
      </c>
      <c r="H232" t="s">
        <v>15</v>
      </c>
      <c r="I232">
        <v>3</v>
      </c>
      <c r="J232" t="s">
        <v>48</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40</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40</v>
      </c>
      <c r="D236" s="1">
        <v>90000</v>
      </c>
      <c r="E236">
        <v>0</v>
      </c>
      <c r="F236" t="s">
        <v>13</v>
      </c>
      <c r="G236" t="s">
        <v>21</v>
      </c>
      <c r="H236" t="s">
        <v>18</v>
      </c>
      <c r="I236">
        <v>4</v>
      </c>
      <c r="J236" t="s">
        <v>48</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40</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40</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40</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
        <v>120000</v>
      </c>
      <c r="E246">
        <v>3</v>
      </c>
      <c r="F246" t="s">
        <v>13</v>
      </c>
      <c r="G246" t="s">
        <v>28</v>
      </c>
      <c r="H246" t="s">
        <v>18</v>
      </c>
      <c r="I246">
        <v>2</v>
      </c>
      <c r="J246" t="s">
        <v>48</v>
      </c>
      <c r="K246" t="s">
        <v>17</v>
      </c>
      <c r="L246">
        <v>52</v>
      </c>
      <c r="M246" t="str">
        <f t="shared" si="3"/>
        <v>Middle Age</v>
      </c>
      <c r="N246" t="s">
        <v>15</v>
      </c>
    </row>
    <row r="247" spans="1:14" x14ac:dyDescent="0.25">
      <c r="A247">
        <v>18494</v>
      </c>
      <c r="B247" t="s">
        <v>36</v>
      </c>
      <c r="C247" t="s">
        <v>40</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48</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40</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40</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40</v>
      </c>
      <c r="D253" s="1">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40</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40</v>
      </c>
      <c r="D255" s="1">
        <v>100000</v>
      </c>
      <c r="E255">
        <v>3</v>
      </c>
      <c r="F255" t="s">
        <v>29</v>
      </c>
      <c r="G255" t="s">
        <v>21</v>
      </c>
      <c r="H255" t="s">
        <v>15</v>
      </c>
      <c r="I255">
        <v>0</v>
      </c>
      <c r="J255" t="s">
        <v>48</v>
      </c>
      <c r="K255" t="s">
        <v>17</v>
      </c>
      <c r="L255">
        <v>59</v>
      </c>
      <c r="M255" t="str">
        <f t="shared" si="3"/>
        <v>Old</v>
      </c>
      <c r="N255" t="s">
        <v>15</v>
      </c>
    </row>
    <row r="256" spans="1:14" x14ac:dyDescent="0.25">
      <c r="A256">
        <v>21375</v>
      </c>
      <c r="B256" t="s">
        <v>37</v>
      </c>
      <c r="C256" t="s">
        <v>40</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40</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25">
      <c r="A260">
        <v>14193</v>
      </c>
      <c r="B260" t="s">
        <v>37</v>
      </c>
      <c r="C260" t="s">
        <v>39</v>
      </c>
      <c r="D260" s="1">
        <v>100000</v>
      </c>
      <c r="E260">
        <v>3</v>
      </c>
      <c r="F260" t="s">
        <v>19</v>
      </c>
      <c r="G260" t="s">
        <v>28</v>
      </c>
      <c r="H260" t="s">
        <v>15</v>
      </c>
      <c r="I260">
        <v>4</v>
      </c>
      <c r="J260" t="s">
        <v>48</v>
      </c>
      <c r="K260" t="s">
        <v>17</v>
      </c>
      <c r="L260">
        <v>56</v>
      </c>
      <c r="M260" t="str">
        <f t="shared" si="4"/>
        <v>Old</v>
      </c>
      <c r="N260" t="s">
        <v>18</v>
      </c>
    </row>
    <row r="261" spans="1:14" x14ac:dyDescent="0.25">
      <c r="A261">
        <v>12705</v>
      </c>
      <c r="B261" t="s">
        <v>36</v>
      </c>
      <c r="C261" t="s">
        <v>40</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48</v>
      </c>
      <c r="K265" t="s">
        <v>24</v>
      </c>
      <c r="L265">
        <v>39</v>
      </c>
      <c r="M265" t="str">
        <f t="shared" si="4"/>
        <v>Middle Age</v>
      </c>
      <c r="N265" t="s">
        <v>18</v>
      </c>
    </row>
    <row r="266" spans="1:14" x14ac:dyDescent="0.25">
      <c r="A266">
        <v>17964</v>
      </c>
      <c r="B266" t="s">
        <v>36</v>
      </c>
      <c r="C266" t="s">
        <v>40</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40</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40</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40</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40</v>
      </c>
      <c r="D280" s="1">
        <v>100000</v>
      </c>
      <c r="E280">
        <v>0</v>
      </c>
      <c r="F280" t="s">
        <v>27</v>
      </c>
      <c r="G280" t="s">
        <v>28</v>
      </c>
      <c r="H280" t="s">
        <v>15</v>
      </c>
      <c r="I280">
        <v>3</v>
      </c>
      <c r="J280" t="s">
        <v>48</v>
      </c>
      <c r="K280" t="s">
        <v>24</v>
      </c>
      <c r="L280">
        <v>35</v>
      </c>
      <c r="M280" t="str">
        <f t="shared" si="4"/>
        <v>Middle Age</v>
      </c>
      <c r="N280" t="s">
        <v>15</v>
      </c>
    </row>
    <row r="281" spans="1:14" x14ac:dyDescent="0.25">
      <c r="A281">
        <v>16390</v>
      </c>
      <c r="B281" t="s">
        <v>37</v>
      </c>
      <c r="C281" t="s">
        <v>40</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40</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40</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40</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40</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40</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40</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40</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48</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40</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40</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40</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40</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40</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40</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40</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40</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40</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40</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40</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40</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40</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40</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40</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40</v>
      </c>
      <c r="D320" s="1">
        <v>130000</v>
      </c>
      <c r="E320">
        <v>4</v>
      </c>
      <c r="F320" t="s">
        <v>19</v>
      </c>
      <c r="G320" t="s">
        <v>21</v>
      </c>
      <c r="H320" t="s">
        <v>18</v>
      </c>
      <c r="I320">
        <v>3</v>
      </c>
      <c r="J320" t="s">
        <v>48</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40</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40</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40</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40</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40</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48</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48</v>
      </c>
      <c r="K332" t="s">
        <v>24</v>
      </c>
      <c r="L332">
        <v>32</v>
      </c>
      <c r="M332" t="str">
        <f t="shared" si="5"/>
        <v>Middle Age</v>
      </c>
      <c r="N332" t="s">
        <v>18</v>
      </c>
    </row>
    <row r="333" spans="1:14" x14ac:dyDescent="0.25">
      <c r="A333">
        <v>19508</v>
      </c>
      <c r="B333" t="s">
        <v>36</v>
      </c>
      <c r="C333" t="s">
        <v>40</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40</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40</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40</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40</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40</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40</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40</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40</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40</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40</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40</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40</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40</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40</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40</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40</v>
      </c>
      <c r="D357" s="1">
        <v>80000</v>
      </c>
      <c r="E357">
        <v>0</v>
      </c>
      <c r="F357" t="s">
        <v>13</v>
      </c>
      <c r="G357" t="s">
        <v>21</v>
      </c>
      <c r="H357" t="s">
        <v>15</v>
      </c>
      <c r="I357">
        <v>3</v>
      </c>
      <c r="J357" t="s">
        <v>48</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40</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40</v>
      </c>
      <c r="D361" s="1">
        <v>80000</v>
      </c>
      <c r="E361">
        <v>0</v>
      </c>
      <c r="F361" t="s">
        <v>13</v>
      </c>
      <c r="G361" t="s">
        <v>21</v>
      </c>
      <c r="H361" t="s">
        <v>15</v>
      </c>
      <c r="I361">
        <v>3</v>
      </c>
      <c r="J361" t="s">
        <v>48</v>
      </c>
      <c r="K361" t="s">
        <v>24</v>
      </c>
      <c r="L361">
        <v>30</v>
      </c>
      <c r="M361" t="str">
        <f t="shared" si="5"/>
        <v>Adolescent</v>
      </c>
      <c r="N361" t="s">
        <v>18</v>
      </c>
    </row>
    <row r="362" spans="1:14" x14ac:dyDescent="0.25">
      <c r="A362">
        <v>13082</v>
      </c>
      <c r="B362" t="s">
        <v>37</v>
      </c>
      <c r="C362" t="s">
        <v>40</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40</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40</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48</v>
      </c>
      <c r="K372" t="s">
        <v>24</v>
      </c>
      <c r="L372">
        <v>46</v>
      </c>
      <c r="M372" t="str">
        <f t="shared" si="5"/>
        <v>Middle Age</v>
      </c>
      <c r="N372" t="s">
        <v>18</v>
      </c>
    </row>
    <row r="373" spans="1:14" x14ac:dyDescent="0.25">
      <c r="A373">
        <v>22918</v>
      </c>
      <c r="B373" t="s">
        <v>37</v>
      </c>
      <c r="C373" t="s">
        <v>40</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40</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40</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40</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40</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40</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40</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40</v>
      </c>
      <c r="D382" s="1">
        <v>70000</v>
      </c>
      <c r="E382">
        <v>0</v>
      </c>
      <c r="F382" t="s">
        <v>13</v>
      </c>
      <c r="G382" t="s">
        <v>21</v>
      </c>
      <c r="H382" t="s">
        <v>18</v>
      </c>
      <c r="I382">
        <v>3</v>
      </c>
      <c r="J382" t="s">
        <v>48</v>
      </c>
      <c r="K382" t="s">
        <v>24</v>
      </c>
      <c r="L382">
        <v>30</v>
      </c>
      <c r="M382" t="str">
        <f t="shared" si="5"/>
        <v>Adolescent</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40</v>
      </c>
      <c r="D384" s="1">
        <v>80000</v>
      </c>
      <c r="E384">
        <v>4</v>
      </c>
      <c r="F384" t="s">
        <v>19</v>
      </c>
      <c r="G384" t="s">
        <v>21</v>
      </c>
      <c r="H384" t="s">
        <v>15</v>
      </c>
      <c r="I384">
        <v>2</v>
      </c>
      <c r="J384" t="s">
        <v>48</v>
      </c>
      <c r="K384" t="s">
        <v>17</v>
      </c>
      <c r="L384">
        <v>53</v>
      </c>
      <c r="M384" t="str">
        <f t="shared" si="5"/>
        <v>Middle Age</v>
      </c>
      <c r="N384" t="s">
        <v>18</v>
      </c>
    </row>
    <row r="385" spans="1:14" x14ac:dyDescent="0.25">
      <c r="A385">
        <v>17978</v>
      </c>
      <c r="B385" t="s">
        <v>36</v>
      </c>
      <c r="C385" t="s">
        <v>40</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40</v>
      </c>
      <c r="D387" s="1">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25">
      <c r="A388">
        <v>28957</v>
      </c>
      <c r="B388" t="s">
        <v>37</v>
      </c>
      <c r="C388" t="s">
        <v>39</v>
      </c>
      <c r="D388" s="1">
        <v>120000</v>
      </c>
      <c r="E388">
        <v>0</v>
      </c>
      <c r="F388" t="s">
        <v>29</v>
      </c>
      <c r="G388" t="s">
        <v>21</v>
      </c>
      <c r="H388" t="s">
        <v>15</v>
      </c>
      <c r="I388">
        <v>4</v>
      </c>
      <c r="J388" t="s">
        <v>48</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40</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40</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40</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40</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40</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48</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40</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40</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40</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40</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40</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40</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40</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40</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48</v>
      </c>
      <c r="K422" t="s">
        <v>17</v>
      </c>
      <c r="L422">
        <v>59</v>
      </c>
      <c r="M422" t="str">
        <f t="shared" si="6"/>
        <v>Old</v>
      </c>
      <c r="N422" t="s">
        <v>18</v>
      </c>
    </row>
    <row r="423" spans="1:14" x14ac:dyDescent="0.25">
      <c r="A423">
        <v>14547</v>
      </c>
      <c r="B423" t="s">
        <v>36</v>
      </c>
      <c r="C423" t="s">
        <v>40</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40</v>
      </c>
      <c r="D424" s="1">
        <v>110000</v>
      </c>
      <c r="E424">
        <v>0</v>
      </c>
      <c r="F424" t="s">
        <v>19</v>
      </c>
      <c r="G424" t="s">
        <v>28</v>
      </c>
      <c r="H424" t="s">
        <v>18</v>
      </c>
      <c r="I424">
        <v>3</v>
      </c>
      <c r="J424" t="s">
        <v>48</v>
      </c>
      <c r="K424" t="s">
        <v>24</v>
      </c>
      <c r="L424">
        <v>32</v>
      </c>
      <c r="M424" t="str">
        <f t="shared" si="6"/>
        <v>Middle Age</v>
      </c>
      <c r="N424" t="s">
        <v>15</v>
      </c>
    </row>
    <row r="425" spans="1:14" x14ac:dyDescent="0.25">
      <c r="A425">
        <v>27169</v>
      </c>
      <c r="B425" t="s">
        <v>37</v>
      </c>
      <c r="C425" t="s">
        <v>40</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40</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40</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40</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40</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
        <v>110000</v>
      </c>
      <c r="E434">
        <v>0</v>
      </c>
      <c r="F434" t="s">
        <v>27</v>
      </c>
      <c r="G434" t="s">
        <v>28</v>
      </c>
      <c r="H434" t="s">
        <v>15</v>
      </c>
      <c r="I434">
        <v>3</v>
      </c>
      <c r="J434" t="s">
        <v>48</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40</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40</v>
      </c>
      <c r="D442" s="1">
        <v>90000</v>
      </c>
      <c r="E442">
        <v>0</v>
      </c>
      <c r="F442" t="s">
        <v>13</v>
      </c>
      <c r="G442" t="s">
        <v>21</v>
      </c>
      <c r="H442" t="s">
        <v>18</v>
      </c>
      <c r="I442">
        <v>3</v>
      </c>
      <c r="J442" t="s">
        <v>48</v>
      </c>
      <c r="K442" t="s">
        <v>24</v>
      </c>
      <c r="L442">
        <v>34</v>
      </c>
      <c r="M442" t="str">
        <f t="shared" si="6"/>
        <v>Middle Age</v>
      </c>
      <c r="N442" t="s">
        <v>15</v>
      </c>
    </row>
    <row r="443" spans="1:14" x14ac:dyDescent="0.25">
      <c r="A443">
        <v>11061</v>
      </c>
      <c r="B443" t="s">
        <v>36</v>
      </c>
      <c r="C443" t="s">
        <v>40</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40</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40</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48</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40</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40</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40</v>
      </c>
      <c r="D460" s="1">
        <v>120000</v>
      </c>
      <c r="E460">
        <v>0</v>
      </c>
      <c r="F460" t="s">
        <v>29</v>
      </c>
      <c r="G460" t="s">
        <v>21</v>
      </c>
      <c r="H460" t="s">
        <v>15</v>
      </c>
      <c r="I460">
        <v>4</v>
      </c>
      <c r="J460" t="s">
        <v>48</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48</v>
      </c>
      <c r="K461" t="s">
        <v>24</v>
      </c>
      <c r="L461">
        <v>33</v>
      </c>
      <c r="M461" t="str">
        <f t="shared" si="7"/>
        <v>Middle Age</v>
      </c>
      <c r="N461" t="s">
        <v>18</v>
      </c>
    </row>
    <row r="462" spans="1:14" x14ac:dyDescent="0.25">
      <c r="A462">
        <v>13662</v>
      </c>
      <c r="B462" t="s">
        <v>37</v>
      </c>
      <c r="C462" t="s">
        <v>40</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40</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40</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40</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40</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40</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40</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40</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40</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40</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40</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40</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40</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48</v>
      </c>
      <c r="K488" t="s">
        <v>17</v>
      </c>
      <c r="L488">
        <v>58</v>
      </c>
      <c r="M488" t="str">
        <f t="shared" si="7"/>
        <v>Old</v>
      </c>
      <c r="N488" t="s">
        <v>18</v>
      </c>
    </row>
    <row r="489" spans="1:14" x14ac:dyDescent="0.25">
      <c r="A489">
        <v>12821</v>
      </c>
      <c r="B489" t="s">
        <v>36</v>
      </c>
      <c r="C489" t="s">
        <v>40</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40</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40</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40</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40</v>
      </c>
      <c r="D495" s="1">
        <v>70000</v>
      </c>
      <c r="E495">
        <v>5</v>
      </c>
      <c r="F495" t="s">
        <v>13</v>
      </c>
      <c r="G495" t="s">
        <v>28</v>
      </c>
      <c r="H495" t="s">
        <v>15</v>
      </c>
      <c r="I495">
        <v>3</v>
      </c>
      <c r="J495" t="s">
        <v>48</v>
      </c>
      <c r="K495" t="s">
        <v>32</v>
      </c>
      <c r="L495">
        <v>60</v>
      </c>
      <c r="M495" t="str">
        <f t="shared" si="7"/>
        <v>Old</v>
      </c>
      <c r="N495" t="s">
        <v>15</v>
      </c>
    </row>
    <row r="496" spans="1:14" x14ac:dyDescent="0.25">
      <c r="A496">
        <v>27650</v>
      </c>
      <c r="B496" t="s">
        <v>36</v>
      </c>
      <c r="C496" t="s">
        <v>40</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40</v>
      </c>
      <c r="D497" s="1">
        <v>60000</v>
      </c>
      <c r="E497">
        <v>2</v>
      </c>
      <c r="F497" t="s">
        <v>19</v>
      </c>
      <c r="G497" t="s">
        <v>21</v>
      </c>
      <c r="H497" t="s">
        <v>15</v>
      </c>
      <c r="I497">
        <v>2</v>
      </c>
      <c r="J497" t="s">
        <v>48</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40</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40</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40</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40</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40</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40</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40</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40</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40</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48</v>
      </c>
      <c r="K515" t="s">
        <v>32</v>
      </c>
      <c r="L515">
        <v>61</v>
      </c>
      <c r="M515" t="str">
        <f t="shared" ref="M515:M578" si="8">IF(L515&gt;55,"Old",IF(L515&gt;=31,"Middle Age",IF(L515&lt;31,"Adolescent","Invalid")))</f>
        <v>Old</v>
      </c>
      <c r="N515" t="s">
        <v>15</v>
      </c>
    </row>
    <row r="516" spans="1:14" x14ac:dyDescent="0.25">
      <c r="A516">
        <v>19399</v>
      </c>
      <c r="B516" t="s">
        <v>37</v>
      </c>
      <c r="C516" t="s">
        <v>40</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40</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40</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40</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40</v>
      </c>
      <c r="D523" s="1">
        <v>40000</v>
      </c>
      <c r="E523">
        <v>4</v>
      </c>
      <c r="F523" t="s">
        <v>27</v>
      </c>
      <c r="G523" t="s">
        <v>21</v>
      </c>
      <c r="H523" t="s">
        <v>15</v>
      </c>
      <c r="I523">
        <v>2</v>
      </c>
      <c r="J523" t="s">
        <v>48</v>
      </c>
      <c r="K523" t="s">
        <v>32</v>
      </c>
      <c r="L523">
        <v>62</v>
      </c>
      <c r="M523" t="str">
        <f t="shared" si="8"/>
        <v>Old</v>
      </c>
      <c r="N523" t="s">
        <v>15</v>
      </c>
    </row>
    <row r="524" spans="1:14" x14ac:dyDescent="0.25">
      <c r="A524">
        <v>19413</v>
      </c>
      <c r="B524" t="s">
        <v>37</v>
      </c>
      <c r="C524" t="s">
        <v>40</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40</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40</v>
      </c>
      <c r="D527" s="1">
        <v>60000</v>
      </c>
      <c r="E527">
        <v>5</v>
      </c>
      <c r="F527" t="s">
        <v>13</v>
      </c>
      <c r="G527" t="s">
        <v>28</v>
      </c>
      <c r="H527" t="s">
        <v>15</v>
      </c>
      <c r="I527">
        <v>3</v>
      </c>
      <c r="J527" t="s">
        <v>48</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40</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40</v>
      </c>
      <c r="D531" s="1">
        <v>60000</v>
      </c>
      <c r="E531">
        <v>2</v>
      </c>
      <c r="F531" t="s">
        <v>19</v>
      </c>
      <c r="G531" t="s">
        <v>21</v>
      </c>
      <c r="H531" t="s">
        <v>15</v>
      </c>
      <c r="I531">
        <v>1</v>
      </c>
      <c r="J531" t="s">
        <v>48</v>
      </c>
      <c r="K531" t="s">
        <v>32</v>
      </c>
      <c r="L531">
        <v>57</v>
      </c>
      <c r="M531" t="str">
        <f t="shared" si="8"/>
        <v>Old</v>
      </c>
      <c r="N531" t="s">
        <v>15</v>
      </c>
    </row>
    <row r="532" spans="1:14" x14ac:dyDescent="0.25">
      <c r="A532">
        <v>25909</v>
      </c>
      <c r="B532" t="s">
        <v>36</v>
      </c>
      <c r="C532" t="s">
        <v>40</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40</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40</v>
      </c>
      <c r="D535" s="1">
        <v>60000</v>
      </c>
      <c r="E535">
        <v>3</v>
      </c>
      <c r="F535" t="s">
        <v>13</v>
      </c>
      <c r="G535" t="s">
        <v>28</v>
      </c>
      <c r="H535" t="s">
        <v>15</v>
      </c>
      <c r="I535">
        <v>2</v>
      </c>
      <c r="J535" t="s">
        <v>48</v>
      </c>
      <c r="K535" t="s">
        <v>32</v>
      </c>
      <c r="L535">
        <v>66</v>
      </c>
      <c r="M535" t="str">
        <f t="shared" si="8"/>
        <v>Old</v>
      </c>
      <c r="N535" t="s">
        <v>18</v>
      </c>
    </row>
    <row r="536" spans="1:14" x14ac:dyDescent="0.25">
      <c r="A536">
        <v>24637</v>
      </c>
      <c r="B536" t="s">
        <v>36</v>
      </c>
      <c r="C536" t="s">
        <v>40</v>
      </c>
      <c r="D536" s="1">
        <v>40000</v>
      </c>
      <c r="E536">
        <v>4</v>
      </c>
      <c r="F536" t="s">
        <v>27</v>
      </c>
      <c r="G536" t="s">
        <v>21</v>
      </c>
      <c r="H536" t="s">
        <v>15</v>
      </c>
      <c r="I536">
        <v>2</v>
      </c>
      <c r="J536" t="s">
        <v>48</v>
      </c>
      <c r="K536" t="s">
        <v>32</v>
      </c>
      <c r="L536">
        <v>64</v>
      </c>
      <c r="M536" t="str">
        <f t="shared" si="8"/>
        <v>Old</v>
      </c>
      <c r="N536" t="s">
        <v>18</v>
      </c>
    </row>
    <row r="537" spans="1:14" x14ac:dyDescent="0.25">
      <c r="A537">
        <v>23893</v>
      </c>
      <c r="B537" t="s">
        <v>36</v>
      </c>
      <c r="C537" t="s">
        <v>40</v>
      </c>
      <c r="D537" s="1">
        <v>50000</v>
      </c>
      <c r="E537">
        <v>3</v>
      </c>
      <c r="F537" t="s">
        <v>13</v>
      </c>
      <c r="G537" t="s">
        <v>14</v>
      </c>
      <c r="H537" t="s">
        <v>15</v>
      </c>
      <c r="I537">
        <v>3</v>
      </c>
      <c r="J537" t="s">
        <v>48</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40</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40</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40</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40</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40</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40</v>
      </c>
      <c r="D549" s="1">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48</v>
      </c>
      <c r="K553" t="s">
        <v>32</v>
      </c>
      <c r="L553">
        <v>63</v>
      </c>
      <c r="M553" t="str">
        <f t="shared" si="8"/>
        <v>Old</v>
      </c>
      <c r="N553" t="s">
        <v>18</v>
      </c>
    </row>
    <row r="554" spans="1:14" x14ac:dyDescent="0.25">
      <c r="A554">
        <v>14417</v>
      </c>
      <c r="B554" t="s">
        <v>37</v>
      </c>
      <c r="C554" t="s">
        <v>40</v>
      </c>
      <c r="D554" s="1">
        <v>60000</v>
      </c>
      <c r="E554">
        <v>3</v>
      </c>
      <c r="F554" t="s">
        <v>27</v>
      </c>
      <c r="G554" t="s">
        <v>21</v>
      </c>
      <c r="H554" t="s">
        <v>15</v>
      </c>
      <c r="I554">
        <v>2</v>
      </c>
      <c r="J554" t="s">
        <v>48</v>
      </c>
      <c r="K554" t="s">
        <v>32</v>
      </c>
      <c r="L554">
        <v>54</v>
      </c>
      <c r="M554" t="str">
        <f t="shared" si="8"/>
        <v>Middle Age</v>
      </c>
      <c r="N554" t="s">
        <v>15</v>
      </c>
    </row>
    <row r="555" spans="1:14" x14ac:dyDescent="0.25">
      <c r="A555">
        <v>17533</v>
      </c>
      <c r="B555" t="s">
        <v>36</v>
      </c>
      <c r="C555" t="s">
        <v>40</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40</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40</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48</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40</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40</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40</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40</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40</v>
      </c>
      <c r="D571" s="1">
        <v>50000</v>
      </c>
      <c r="E571">
        <v>3</v>
      </c>
      <c r="F571" t="s">
        <v>31</v>
      </c>
      <c r="G571" t="s">
        <v>28</v>
      </c>
      <c r="H571" t="s">
        <v>15</v>
      </c>
      <c r="I571">
        <v>2</v>
      </c>
      <c r="J571" t="s">
        <v>48</v>
      </c>
      <c r="K571" t="s">
        <v>32</v>
      </c>
      <c r="L571">
        <v>69</v>
      </c>
      <c r="M571" t="str">
        <f t="shared" si="8"/>
        <v>Old</v>
      </c>
      <c r="N571" t="s">
        <v>18</v>
      </c>
    </row>
    <row r="572" spans="1:14" x14ac:dyDescent="0.25">
      <c r="A572">
        <v>20370</v>
      </c>
      <c r="B572" t="s">
        <v>36</v>
      </c>
      <c r="C572" t="s">
        <v>40</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40</v>
      </c>
      <c r="D573" s="1">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40</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40</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40</v>
      </c>
      <c r="D577" s="1">
        <v>60000</v>
      </c>
      <c r="E577">
        <v>2</v>
      </c>
      <c r="F577" t="s">
        <v>19</v>
      </c>
      <c r="G577" t="s">
        <v>21</v>
      </c>
      <c r="H577" t="s">
        <v>15</v>
      </c>
      <c r="I577">
        <v>1</v>
      </c>
      <c r="J577" t="s">
        <v>48</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40</v>
      </c>
      <c r="D579" s="1">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25">
      <c r="A580">
        <v>15313</v>
      </c>
      <c r="B580" t="s">
        <v>36</v>
      </c>
      <c r="C580" t="s">
        <v>40</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48</v>
      </c>
      <c r="K582" t="s">
        <v>32</v>
      </c>
      <c r="L582">
        <v>69</v>
      </c>
      <c r="M582" t="str">
        <f t="shared" si="9"/>
        <v>Old</v>
      </c>
      <c r="N582" t="s">
        <v>18</v>
      </c>
    </row>
    <row r="583" spans="1:14" x14ac:dyDescent="0.25">
      <c r="A583">
        <v>23089</v>
      </c>
      <c r="B583" t="s">
        <v>36</v>
      </c>
      <c r="C583" t="s">
        <v>40</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40</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40</v>
      </c>
      <c r="D585" s="1">
        <v>60000</v>
      </c>
      <c r="E585">
        <v>3</v>
      </c>
      <c r="F585" t="s">
        <v>13</v>
      </c>
      <c r="G585" t="s">
        <v>28</v>
      </c>
      <c r="H585" t="s">
        <v>15</v>
      </c>
      <c r="I585">
        <v>2</v>
      </c>
      <c r="J585" t="s">
        <v>48</v>
      </c>
      <c r="K585" t="s">
        <v>32</v>
      </c>
      <c r="L585">
        <v>66</v>
      </c>
      <c r="M585" t="str">
        <f t="shared" si="9"/>
        <v>Old</v>
      </c>
      <c r="N585" t="s">
        <v>18</v>
      </c>
    </row>
    <row r="586" spans="1:14" x14ac:dyDescent="0.25">
      <c r="A586">
        <v>28667</v>
      </c>
      <c r="B586" t="s">
        <v>37</v>
      </c>
      <c r="C586" t="s">
        <v>40</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40</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40</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48</v>
      </c>
      <c r="K590" t="s">
        <v>32</v>
      </c>
      <c r="L590">
        <v>51</v>
      </c>
      <c r="M590" t="str">
        <f t="shared" si="9"/>
        <v>Middle Age</v>
      </c>
      <c r="N590" t="s">
        <v>15</v>
      </c>
    </row>
    <row r="591" spans="1:14" x14ac:dyDescent="0.25">
      <c r="A591">
        <v>12100</v>
      </c>
      <c r="B591" t="s">
        <v>37</v>
      </c>
      <c r="C591" t="s">
        <v>40</v>
      </c>
      <c r="D591" s="1">
        <v>60000</v>
      </c>
      <c r="E591">
        <v>2</v>
      </c>
      <c r="F591" t="s">
        <v>13</v>
      </c>
      <c r="G591" t="s">
        <v>28</v>
      </c>
      <c r="H591" t="s">
        <v>15</v>
      </c>
      <c r="I591">
        <v>0</v>
      </c>
      <c r="J591" t="s">
        <v>48</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40</v>
      </c>
      <c r="D593" s="1">
        <v>40000</v>
      </c>
      <c r="E593">
        <v>4</v>
      </c>
      <c r="F593" t="s">
        <v>27</v>
      </c>
      <c r="G593" t="s">
        <v>21</v>
      </c>
      <c r="H593" t="s">
        <v>18</v>
      </c>
      <c r="I593">
        <v>2</v>
      </c>
      <c r="J593" t="s">
        <v>48</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40</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40</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40</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40</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40</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40</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40</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40</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40</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40</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48</v>
      </c>
      <c r="K609" t="s">
        <v>32</v>
      </c>
      <c r="L609">
        <v>46</v>
      </c>
      <c r="M609" t="str">
        <f t="shared" si="9"/>
        <v>Middle Age</v>
      </c>
      <c r="N609" t="s">
        <v>15</v>
      </c>
    </row>
    <row r="610" spans="1:14" x14ac:dyDescent="0.25">
      <c r="A610">
        <v>16890</v>
      </c>
      <c r="B610" t="s">
        <v>36</v>
      </c>
      <c r="C610" t="s">
        <v>40</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40</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40</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40</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40</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40</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40</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40</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40</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40</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40</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40</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40</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40</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40</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40</v>
      </c>
      <c r="D643" s="1">
        <v>50000</v>
      </c>
      <c r="E643">
        <v>4</v>
      </c>
      <c r="F643" t="s">
        <v>13</v>
      </c>
      <c r="G643" t="s">
        <v>28</v>
      </c>
      <c r="H643" t="s">
        <v>15</v>
      </c>
      <c r="I643">
        <v>2</v>
      </c>
      <c r="J643" t="s">
        <v>48</v>
      </c>
      <c r="K643" t="s">
        <v>32</v>
      </c>
      <c r="L643">
        <v>64</v>
      </c>
      <c r="M643" t="str">
        <f t="shared" ref="M643:M706" si="10">IF(L643&gt;55,"Old",IF(L643&gt;=31,"Middle Age",IF(L643&lt;31,"Adolescent","Invalid")))</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48</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40</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48</v>
      </c>
      <c r="K652" t="s">
        <v>32</v>
      </c>
      <c r="L652">
        <v>67</v>
      </c>
      <c r="M652" t="str">
        <f t="shared" si="10"/>
        <v>Old</v>
      </c>
      <c r="N652" t="s">
        <v>15</v>
      </c>
    </row>
    <row r="653" spans="1:14" x14ac:dyDescent="0.25">
      <c r="A653">
        <v>14284</v>
      </c>
      <c r="B653" t="s">
        <v>37</v>
      </c>
      <c r="C653" t="s">
        <v>40</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40</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40</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40</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40</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40</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40</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48</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40</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40</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48</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40</v>
      </c>
      <c r="D672" s="1">
        <v>70000</v>
      </c>
      <c r="E672">
        <v>2</v>
      </c>
      <c r="F672" t="s">
        <v>19</v>
      </c>
      <c r="G672" t="s">
        <v>21</v>
      </c>
      <c r="H672" t="s">
        <v>15</v>
      </c>
      <c r="I672">
        <v>1</v>
      </c>
      <c r="J672" t="s">
        <v>48</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40</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40</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40</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40</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40</v>
      </c>
      <c r="D681" s="1">
        <v>60000</v>
      </c>
      <c r="E681">
        <v>4</v>
      </c>
      <c r="F681" t="s">
        <v>13</v>
      </c>
      <c r="G681" t="s">
        <v>28</v>
      </c>
      <c r="H681" t="s">
        <v>15</v>
      </c>
      <c r="I681">
        <v>2</v>
      </c>
      <c r="J681" t="s">
        <v>48</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40</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40</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40</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40</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40</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40</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40</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40</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40</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40</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40</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40</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48</v>
      </c>
      <c r="K707" t="s">
        <v>32</v>
      </c>
      <c r="L707">
        <v>59</v>
      </c>
      <c r="M707" t="str">
        <f t="shared" ref="M707:M770" si="11">IF(L707&gt;55,"Old",IF(L707&gt;=31,"Middle Age",IF(L707&lt;31,"Adolescent","Invalid")))</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40</v>
      </c>
      <c r="D710" s="1">
        <v>70000</v>
      </c>
      <c r="E710">
        <v>5</v>
      </c>
      <c r="F710" t="s">
        <v>13</v>
      </c>
      <c r="G710" t="s">
        <v>28</v>
      </c>
      <c r="H710" t="s">
        <v>15</v>
      </c>
      <c r="I710">
        <v>4</v>
      </c>
      <c r="J710" t="s">
        <v>48</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48</v>
      </c>
      <c r="K711" t="s">
        <v>32</v>
      </c>
      <c r="L711">
        <v>59</v>
      </c>
      <c r="M711" t="str">
        <f t="shared" si="11"/>
        <v>Old</v>
      </c>
      <c r="N711" t="s">
        <v>18</v>
      </c>
    </row>
    <row r="712" spans="1:14" x14ac:dyDescent="0.25">
      <c r="A712">
        <v>23358</v>
      </c>
      <c r="B712" t="s">
        <v>36</v>
      </c>
      <c r="C712" t="s">
        <v>40</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48</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40</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40</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40</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40</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40</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40</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40</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40</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40</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40</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40</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40</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40</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48</v>
      </c>
      <c r="K741" t="s">
        <v>32</v>
      </c>
      <c r="L741">
        <v>55</v>
      </c>
      <c r="M741" t="str">
        <f t="shared" si="11"/>
        <v>Middle Age</v>
      </c>
      <c r="N741" t="s">
        <v>18</v>
      </c>
    </row>
    <row r="742" spans="1:14" x14ac:dyDescent="0.25">
      <c r="A742">
        <v>17657</v>
      </c>
      <c r="B742" t="s">
        <v>36</v>
      </c>
      <c r="C742" t="s">
        <v>40</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40</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40</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48</v>
      </c>
      <c r="K746" t="s">
        <v>32</v>
      </c>
      <c r="L746">
        <v>56</v>
      </c>
      <c r="M746" t="str">
        <f t="shared" si="11"/>
        <v>Old</v>
      </c>
      <c r="N746" t="s">
        <v>18</v>
      </c>
    </row>
    <row r="747" spans="1:14" x14ac:dyDescent="0.25">
      <c r="A747">
        <v>12452</v>
      </c>
      <c r="B747" t="s">
        <v>36</v>
      </c>
      <c r="C747" t="s">
        <v>40</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48</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40</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40</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40</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40</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40</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40</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40</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40</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48</v>
      </c>
      <c r="K763" t="s">
        <v>32</v>
      </c>
      <c r="L763">
        <v>59</v>
      </c>
      <c r="M763" t="str">
        <f t="shared" si="11"/>
        <v>Old</v>
      </c>
      <c r="N763" t="s">
        <v>18</v>
      </c>
    </row>
    <row r="764" spans="1:14" x14ac:dyDescent="0.25">
      <c r="A764">
        <v>20657</v>
      </c>
      <c r="B764" t="s">
        <v>37</v>
      </c>
      <c r="C764" t="s">
        <v>40</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40</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40</v>
      </c>
      <c r="D768" s="1">
        <v>50000</v>
      </c>
      <c r="E768">
        <v>4</v>
      </c>
      <c r="F768" t="s">
        <v>13</v>
      </c>
      <c r="G768" t="s">
        <v>14</v>
      </c>
      <c r="H768" t="s">
        <v>15</v>
      </c>
      <c r="I768">
        <v>3</v>
      </c>
      <c r="J768" t="s">
        <v>48</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25">
      <c r="A772">
        <v>17699</v>
      </c>
      <c r="B772" t="s">
        <v>36</v>
      </c>
      <c r="C772" t="s">
        <v>40</v>
      </c>
      <c r="D772" s="1">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40</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40</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40</v>
      </c>
      <c r="D777" s="1">
        <v>70000</v>
      </c>
      <c r="E777">
        <v>2</v>
      </c>
      <c r="F777" t="s">
        <v>29</v>
      </c>
      <c r="G777" t="s">
        <v>14</v>
      </c>
      <c r="H777" t="s">
        <v>15</v>
      </c>
      <c r="I777">
        <v>2</v>
      </c>
      <c r="J777" t="s">
        <v>48</v>
      </c>
      <c r="K777" t="s">
        <v>32</v>
      </c>
      <c r="L777">
        <v>54</v>
      </c>
      <c r="M777" t="str">
        <f t="shared" si="12"/>
        <v>Middle Age</v>
      </c>
      <c r="N777" t="s">
        <v>18</v>
      </c>
    </row>
    <row r="778" spans="1:14" x14ac:dyDescent="0.25">
      <c r="A778">
        <v>26490</v>
      </c>
      <c r="B778" t="s">
        <v>37</v>
      </c>
      <c r="C778" t="s">
        <v>40</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40</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40</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40</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48</v>
      </c>
      <c r="K782" t="s">
        <v>32</v>
      </c>
      <c r="L782">
        <v>55</v>
      </c>
      <c r="M782" t="str">
        <f t="shared" si="12"/>
        <v>Middle Age</v>
      </c>
      <c r="N782" t="s">
        <v>18</v>
      </c>
    </row>
    <row r="783" spans="1:14" x14ac:dyDescent="0.25">
      <c r="A783">
        <v>19660</v>
      </c>
      <c r="B783" t="s">
        <v>36</v>
      </c>
      <c r="C783" t="s">
        <v>40</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40</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40</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40</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40</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40</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40</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40</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40</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40</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40</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40</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40</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40</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40</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40</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40</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40</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48</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48</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40</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40</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40</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40</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40</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40</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40</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40</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40</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40</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40</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40</v>
      </c>
      <c r="D842" s="1">
        <v>70000</v>
      </c>
      <c r="E842">
        <v>4</v>
      </c>
      <c r="F842" t="s">
        <v>19</v>
      </c>
      <c r="G842" t="s">
        <v>21</v>
      </c>
      <c r="H842" t="s">
        <v>15</v>
      </c>
      <c r="I842">
        <v>2</v>
      </c>
      <c r="J842" t="s">
        <v>48</v>
      </c>
      <c r="K842" t="s">
        <v>32</v>
      </c>
      <c r="L842">
        <v>53</v>
      </c>
      <c r="M842" t="str">
        <f t="shared" si="13"/>
        <v>Middle Age</v>
      </c>
      <c r="N842" t="s">
        <v>18</v>
      </c>
    </row>
    <row r="843" spans="1:14" x14ac:dyDescent="0.25">
      <c r="A843">
        <v>12056</v>
      </c>
      <c r="B843" t="s">
        <v>36</v>
      </c>
      <c r="C843" t="s">
        <v>40</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40</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48</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40</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40</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40</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40</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40</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40</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40</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40</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40</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40</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40</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40</v>
      </c>
      <c r="D868" s="1">
        <v>60000</v>
      </c>
      <c r="E868">
        <v>2</v>
      </c>
      <c r="F868" t="s">
        <v>27</v>
      </c>
      <c r="G868" t="s">
        <v>21</v>
      </c>
      <c r="H868" t="s">
        <v>15</v>
      </c>
      <c r="I868">
        <v>2</v>
      </c>
      <c r="J868" t="s">
        <v>48</v>
      </c>
      <c r="K868" t="s">
        <v>32</v>
      </c>
      <c r="L868">
        <v>55</v>
      </c>
      <c r="M868" t="str">
        <f t="shared" si="13"/>
        <v>Middle Age</v>
      </c>
      <c r="N868" t="s">
        <v>18</v>
      </c>
    </row>
    <row r="869" spans="1:14" x14ac:dyDescent="0.25">
      <c r="A869">
        <v>26693</v>
      </c>
      <c r="B869" t="s">
        <v>36</v>
      </c>
      <c r="C869" t="s">
        <v>40</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40</v>
      </c>
      <c r="D870" s="1">
        <v>30000</v>
      </c>
      <c r="E870">
        <v>5</v>
      </c>
      <c r="F870" t="s">
        <v>29</v>
      </c>
      <c r="G870" t="s">
        <v>14</v>
      </c>
      <c r="H870" t="s">
        <v>15</v>
      </c>
      <c r="I870">
        <v>3</v>
      </c>
      <c r="J870" t="s">
        <v>48</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40</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40</v>
      </c>
      <c r="D873" s="1">
        <v>60000</v>
      </c>
      <c r="E873">
        <v>2</v>
      </c>
      <c r="F873" t="s">
        <v>27</v>
      </c>
      <c r="G873" t="s">
        <v>21</v>
      </c>
      <c r="H873" t="s">
        <v>15</v>
      </c>
      <c r="I873">
        <v>2</v>
      </c>
      <c r="J873" t="s">
        <v>48</v>
      </c>
      <c r="K873" t="s">
        <v>32</v>
      </c>
      <c r="L873">
        <v>55</v>
      </c>
      <c r="M873" t="str">
        <f t="shared" si="13"/>
        <v>Middle Age</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40</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40</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40</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40</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40</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40</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40</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40</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40</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40</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40</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40</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40</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40</v>
      </c>
      <c r="D899" s="1">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25">
      <c r="A900">
        <v>18066</v>
      </c>
      <c r="B900" t="s">
        <v>37</v>
      </c>
      <c r="C900" t="s">
        <v>40</v>
      </c>
      <c r="D900" s="1">
        <v>70000</v>
      </c>
      <c r="E900">
        <v>5</v>
      </c>
      <c r="F900" t="s">
        <v>13</v>
      </c>
      <c r="G900" t="s">
        <v>28</v>
      </c>
      <c r="H900" t="s">
        <v>15</v>
      </c>
      <c r="I900">
        <v>3</v>
      </c>
      <c r="J900" t="s">
        <v>48</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48</v>
      </c>
      <c r="K901" t="s">
        <v>32</v>
      </c>
      <c r="L901">
        <v>46</v>
      </c>
      <c r="M901" t="str">
        <f t="shared" si="14"/>
        <v>Middle Age</v>
      </c>
      <c r="N901" t="s">
        <v>18</v>
      </c>
    </row>
    <row r="902" spans="1:14" x14ac:dyDescent="0.25">
      <c r="A902">
        <v>16122</v>
      </c>
      <c r="B902" t="s">
        <v>36</v>
      </c>
      <c r="C902" t="s">
        <v>40</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40</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40</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40</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40</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40</v>
      </c>
      <c r="D909" s="1">
        <v>50000</v>
      </c>
      <c r="E909">
        <v>4</v>
      </c>
      <c r="F909" t="s">
        <v>13</v>
      </c>
      <c r="G909" t="s">
        <v>28</v>
      </c>
      <c r="H909" t="s">
        <v>15</v>
      </c>
      <c r="I909">
        <v>2</v>
      </c>
      <c r="J909" t="s">
        <v>48</v>
      </c>
      <c r="K909" t="s">
        <v>32</v>
      </c>
      <c r="L909">
        <v>63</v>
      </c>
      <c r="M909" t="str">
        <f t="shared" si="14"/>
        <v>Old</v>
      </c>
      <c r="N909" t="s">
        <v>18</v>
      </c>
    </row>
    <row r="910" spans="1:14" x14ac:dyDescent="0.25">
      <c r="A910">
        <v>23195</v>
      </c>
      <c r="B910" t="s">
        <v>37</v>
      </c>
      <c r="C910" t="s">
        <v>40</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40</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40</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40</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40</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40</v>
      </c>
      <c r="D917" s="1">
        <v>60000</v>
      </c>
      <c r="E917">
        <v>3</v>
      </c>
      <c r="F917" t="s">
        <v>31</v>
      </c>
      <c r="G917" t="s">
        <v>28</v>
      </c>
      <c r="H917" t="s">
        <v>15</v>
      </c>
      <c r="I917">
        <v>2</v>
      </c>
      <c r="J917" t="s">
        <v>48</v>
      </c>
      <c r="K917" t="s">
        <v>32</v>
      </c>
      <c r="L917">
        <v>64</v>
      </c>
      <c r="M917" t="str">
        <f t="shared" si="14"/>
        <v>Old</v>
      </c>
      <c r="N917" t="s">
        <v>18</v>
      </c>
    </row>
    <row r="918" spans="1:14" x14ac:dyDescent="0.25">
      <c r="A918">
        <v>27273</v>
      </c>
      <c r="B918" t="s">
        <v>37</v>
      </c>
      <c r="C918" t="s">
        <v>40</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40</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48</v>
      </c>
      <c r="K921" t="s">
        <v>32</v>
      </c>
      <c r="L921">
        <v>61</v>
      </c>
      <c r="M921" t="str">
        <f t="shared" si="14"/>
        <v>Old</v>
      </c>
      <c r="N921" t="s">
        <v>18</v>
      </c>
    </row>
    <row r="922" spans="1:14" x14ac:dyDescent="0.25">
      <c r="A922">
        <v>20754</v>
      </c>
      <c r="B922" t="s">
        <v>36</v>
      </c>
      <c r="C922" t="s">
        <v>40</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40</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40</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48</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40</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40</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40</v>
      </c>
      <c r="D932" s="1">
        <v>70000</v>
      </c>
      <c r="E932">
        <v>5</v>
      </c>
      <c r="F932" t="s">
        <v>31</v>
      </c>
      <c r="G932" t="s">
        <v>21</v>
      </c>
      <c r="H932" t="s">
        <v>18</v>
      </c>
      <c r="I932">
        <v>3</v>
      </c>
      <c r="J932" t="s">
        <v>48</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40</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40</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40</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40</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40</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40</v>
      </c>
      <c r="D951" s="1">
        <v>70000</v>
      </c>
      <c r="E951">
        <v>2</v>
      </c>
      <c r="F951" t="s">
        <v>29</v>
      </c>
      <c r="G951" t="s">
        <v>14</v>
      </c>
      <c r="H951" t="s">
        <v>15</v>
      </c>
      <c r="I951">
        <v>2</v>
      </c>
      <c r="J951" t="s">
        <v>48</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40</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40</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40</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40</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40</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25">
      <c r="A964">
        <v>16813</v>
      </c>
      <c r="B964" t="s">
        <v>36</v>
      </c>
      <c r="C964" t="s">
        <v>40</v>
      </c>
      <c r="D964" s="1">
        <v>60000</v>
      </c>
      <c r="E964">
        <v>2</v>
      </c>
      <c r="F964" t="s">
        <v>19</v>
      </c>
      <c r="G964" t="s">
        <v>21</v>
      </c>
      <c r="H964" t="s">
        <v>15</v>
      </c>
      <c r="I964">
        <v>2</v>
      </c>
      <c r="J964" t="s">
        <v>48</v>
      </c>
      <c r="K964" t="s">
        <v>32</v>
      </c>
      <c r="L964">
        <v>55</v>
      </c>
      <c r="M964" t="str">
        <f t="shared" si="15"/>
        <v>Middle Age</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40</v>
      </c>
      <c r="D966" s="1">
        <v>70000</v>
      </c>
      <c r="E966">
        <v>4</v>
      </c>
      <c r="F966" t="s">
        <v>19</v>
      </c>
      <c r="G966" t="s">
        <v>21</v>
      </c>
      <c r="H966" t="s">
        <v>15</v>
      </c>
      <c r="I966">
        <v>1</v>
      </c>
      <c r="J966" t="s">
        <v>48</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40</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40</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40</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40</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40</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40</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48</v>
      </c>
      <c r="K978" t="s">
        <v>32</v>
      </c>
      <c r="L978">
        <v>66</v>
      </c>
      <c r="M978" t="str">
        <f t="shared" si="15"/>
        <v>Old</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40</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40</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48</v>
      </c>
      <c r="K982" t="s">
        <v>32</v>
      </c>
      <c r="L982">
        <v>40</v>
      </c>
      <c r="M982" t="str">
        <f t="shared" si="15"/>
        <v>Middle Age</v>
      </c>
      <c r="N982" t="s">
        <v>15</v>
      </c>
    </row>
    <row r="983" spans="1:14" x14ac:dyDescent="0.25">
      <c r="A983">
        <v>15982</v>
      </c>
      <c r="B983" t="s">
        <v>36</v>
      </c>
      <c r="C983" t="s">
        <v>40</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40</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40</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40</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40</v>
      </c>
      <c r="D988" s="1">
        <v>40000</v>
      </c>
      <c r="E988">
        <v>5</v>
      </c>
      <c r="F988" t="s">
        <v>27</v>
      </c>
      <c r="G988" t="s">
        <v>21</v>
      </c>
      <c r="H988" t="s">
        <v>15</v>
      </c>
      <c r="I988">
        <v>4</v>
      </c>
      <c r="J988" t="s">
        <v>48</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48</v>
      </c>
      <c r="K989" t="s">
        <v>32</v>
      </c>
      <c r="L989">
        <v>66</v>
      </c>
      <c r="M989" t="str">
        <f t="shared" si="15"/>
        <v>Old</v>
      </c>
      <c r="N989" t="s">
        <v>18</v>
      </c>
    </row>
    <row r="990" spans="1:14" x14ac:dyDescent="0.25">
      <c r="A990">
        <v>22730</v>
      </c>
      <c r="B990" t="s">
        <v>36</v>
      </c>
      <c r="C990" t="s">
        <v>40</v>
      </c>
      <c r="D990" s="1">
        <v>70000</v>
      </c>
      <c r="E990">
        <v>5</v>
      </c>
      <c r="F990" t="s">
        <v>13</v>
      </c>
      <c r="G990" t="s">
        <v>28</v>
      </c>
      <c r="H990" t="s">
        <v>15</v>
      </c>
      <c r="I990">
        <v>2</v>
      </c>
      <c r="J990" t="s">
        <v>48</v>
      </c>
      <c r="K990" t="s">
        <v>32</v>
      </c>
      <c r="L990">
        <v>63</v>
      </c>
      <c r="M990" t="str">
        <f t="shared" si="15"/>
        <v>Old</v>
      </c>
      <c r="N990" t="s">
        <v>18</v>
      </c>
    </row>
    <row r="991" spans="1:14" x14ac:dyDescent="0.25">
      <c r="A991">
        <v>29134</v>
      </c>
      <c r="B991" t="s">
        <v>36</v>
      </c>
      <c r="C991" t="s">
        <v>40</v>
      </c>
      <c r="D991" s="1">
        <v>60000</v>
      </c>
      <c r="E991">
        <v>4</v>
      </c>
      <c r="F991" t="s">
        <v>13</v>
      </c>
      <c r="G991" t="s">
        <v>14</v>
      </c>
      <c r="H991" t="s">
        <v>18</v>
      </c>
      <c r="I991">
        <v>3</v>
      </c>
      <c r="J991" t="s">
        <v>48</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40</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40</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40</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40</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40</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40</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40</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40</v>
      </c>
      <c r="D1001" s="1">
        <v>60000</v>
      </c>
      <c r="E1001">
        <v>3</v>
      </c>
      <c r="F1001" t="s">
        <v>27</v>
      </c>
      <c r="G1001" t="s">
        <v>21</v>
      </c>
      <c r="H1001" t="s">
        <v>15</v>
      </c>
      <c r="I1001">
        <v>2</v>
      </c>
      <c r="J1001" t="s">
        <v>48</v>
      </c>
      <c r="K1001" t="s">
        <v>32</v>
      </c>
      <c r="L1001">
        <v>53</v>
      </c>
      <c r="M1001" t="str">
        <f t="shared" si="15"/>
        <v>Middle Age</v>
      </c>
      <c r="N1001" t="s">
        <v>15</v>
      </c>
    </row>
  </sheetData>
  <autoFilter ref="A1:N1001" xr:uid="{FED340E5-AA0A-4758-88DE-BA8866492EF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674DD-3490-423A-BED5-C58AF6934339}">
  <dimension ref="A3:D132"/>
  <sheetViews>
    <sheetView topLeftCell="A31" workbookViewId="0">
      <selection activeCell="M106" sqref="M10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7" t="s">
        <v>45</v>
      </c>
      <c r="B3" s="7" t="s">
        <v>46</v>
      </c>
      <c r="C3" s="8"/>
      <c r="D3" s="8"/>
    </row>
    <row r="4" spans="1:4" x14ac:dyDescent="0.25">
      <c r="A4" s="7" t="s">
        <v>43</v>
      </c>
      <c r="B4" s="8" t="s">
        <v>18</v>
      </c>
      <c r="C4" s="8" t="s">
        <v>15</v>
      </c>
      <c r="D4" s="8" t="s">
        <v>44</v>
      </c>
    </row>
    <row r="5" spans="1:4" x14ac:dyDescent="0.25">
      <c r="A5" s="9" t="s">
        <v>39</v>
      </c>
      <c r="B5" s="8">
        <v>66818.181818181823</v>
      </c>
      <c r="C5" s="8">
        <v>61625</v>
      </c>
      <c r="D5" s="8">
        <v>63972.602739726026</v>
      </c>
    </row>
    <row r="6" spans="1:4" x14ac:dyDescent="0.25">
      <c r="A6" s="9" t="s">
        <v>40</v>
      </c>
      <c r="B6" s="8">
        <v>65633.802816901414</v>
      </c>
      <c r="C6" s="8">
        <v>59325.84269662921</v>
      </c>
      <c r="D6" s="8">
        <v>62125</v>
      </c>
    </row>
    <row r="7" spans="1:4" x14ac:dyDescent="0.25">
      <c r="A7" s="9" t="s">
        <v>44</v>
      </c>
      <c r="B7" s="8">
        <v>66204.379562043789</v>
      </c>
      <c r="C7" s="8">
        <v>60414.201183431949</v>
      </c>
      <c r="D7" s="8">
        <v>63006.535947712415</v>
      </c>
    </row>
    <row r="29" spans="1:4" x14ac:dyDescent="0.25">
      <c r="A29" s="4" t="s">
        <v>47</v>
      </c>
      <c r="B29" s="4" t="s">
        <v>46</v>
      </c>
    </row>
    <row r="30" spans="1:4" x14ac:dyDescent="0.25">
      <c r="A30" s="4" t="s">
        <v>43</v>
      </c>
      <c r="B30" t="s">
        <v>18</v>
      </c>
      <c r="C30" t="s">
        <v>15</v>
      </c>
      <c r="D30" t="s">
        <v>44</v>
      </c>
    </row>
    <row r="31" spans="1:4" x14ac:dyDescent="0.25">
      <c r="A31" s="5" t="s">
        <v>16</v>
      </c>
      <c r="B31" s="6">
        <v>166</v>
      </c>
      <c r="C31" s="6">
        <v>200</v>
      </c>
      <c r="D31" s="6">
        <v>366</v>
      </c>
    </row>
    <row r="32" spans="1:4" x14ac:dyDescent="0.25">
      <c r="A32" s="5" t="s">
        <v>26</v>
      </c>
      <c r="B32" s="6">
        <v>92</v>
      </c>
      <c r="C32" s="6">
        <v>77</v>
      </c>
      <c r="D32" s="6">
        <v>169</v>
      </c>
    </row>
    <row r="33" spans="1:4" x14ac:dyDescent="0.25">
      <c r="A33" s="5" t="s">
        <v>22</v>
      </c>
      <c r="B33" s="6">
        <v>67</v>
      </c>
      <c r="C33" s="6">
        <v>95</v>
      </c>
      <c r="D33" s="6">
        <v>162</v>
      </c>
    </row>
    <row r="34" spans="1:4" x14ac:dyDescent="0.25">
      <c r="A34" s="5" t="s">
        <v>23</v>
      </c>
      <c r="B34" s="6">
        <v>116</v>
      </c>
      <c r="C34" s="6">
        <v>76</v>
      </c>
      <c r="D34" s="6">
        <v>192</v>
      </c>
    </row>
    <row r="35" spans="1:4" x14ac:dyDescent="0.25">
      <c r="A35" s="5" t="s">
        <v>48</v>
      </c>
      <c r="B35" s="6">
        <v>78</v>
      </c>
      <c r="C35" s="6">
        <v>33</v>
      </c>
      <c r="D35" s="6">
        <v>111</v>
      </c>
    </row>
    <row r="36" spans="1:4" x14ac:dyDescent="0.25">
      <c r="A36" s="5" t="s">
        <v>44</v>
      </c>
      <c r="B36" s="6">
        <v>519</v>
      </c>
      <c r="C36" s="6">
        <v>481</v>
      </c>
      <c r="D36" s="6">
        <v>1000</v>
      </c>
    </row>
    <row r="53" spans="1:4" x14ac:dyDescent="0.25">
      <c r="A53" s="4" t="s">
        <v>47</v>
      </c>
      <c r="B53" s="4" t="s">
        <v>46</v>
      </c>
    </row>
    <row r="54" spans="1:4" x14ac:dyDescent="0.25">
      <c r="A54" s="4" t="s">
        <v>43</v>
      </c>
      <c r="B54" t="s">
        <v>18</v>
      </c>
      <c r="C54" t="s">
        <v>15</v>
      </c>
      <c r="D54" t="s">
        <v>44</v>
      </c>
    </row>
    <row r="55" spans="1:4" x14ac:dyDescent="0.25">
      <c r="A55" s="5" t="s">
        <v>49</v>
      </c>
      <c r="B55" s="6">
        <v>71</v>
      </c>
      <c r="C55" s="6">
        <v>39</v>
      </c>
      <c r="D55" s="6">
        <v>110</v>
      </c>
    </row>
    <row r="56" spans="1:4" x14ac:dyDescent="0.25">
      <c r="A56" s="5" t="s">
        <v>50</v>
      </c>
      <c r="B56" s="6">
        <v>331</v>
      </c>
      <c r="C56" s="6">
        <v>388</v>
      </c>
      <c r="D56" s="6">
        <v>719</v>
      </c>
    </row>
    <row r="57" spans="1:4" x14ac:dyDescent="0.25">
      <c r="A57" s="5" t="s">
        <v>51</v>
      </c>
      <c r="B57" s="6">
        <v>117</v>
      </c>
      <c r="C57" s="6">
        <v>54</v>
      </c>
      <c r="D57" s="6">
        <v>171</v>
      </c>
    </row>
    <row r="58" spans="1:4" x14ac:dyDescent="0.25">
      <c r="A58" s="5" t="s">
        <v>44</v>
      </c>
      <c r="B58" s="6">
        <v>519</v>
      </c>
      <c r="C58" s="6">
        <v>481</v>
      </c>
      <c r="D58" s="6">
        <v>1000</v>
      </c>
    </row>
    <row r="77" spans="1:4" x14ac:dyDescent="0.25">
      <c r="A77" s="4" t="s">
        <v>47</v>
      </c>
      <c r="B77" s="4" t="s">
        <v>46</v>
      </c>
    </row>
    <row r="78" spans="1:4" x14ac:dyDescent="0.25">
      <c r="A78" s="4" t="s">
        <v>43</v>
      </c>
      <c r="B78" t="s">
        <v>18</v>
      </c>
      <c r="C78" t="s">
        <v>15</v>
      </c>
      <c r="D78" t="s">
        <v>44</v>
      </c>
    </row>
    <row r="79" spans="1:4" x14ac:dyDescent="0.25">
      <c r="A79" s="5">
        <v>25</v>
      </c>
      <c r="B79" s="6">
        <v>2</v>
      </c>
      <c r="C79" s="6">
        <v>4</v>
      </c>
      <c r="D79" s="6">
        <v>6</v>
      </c>
    </row>
    <row r="80" spans="1:4" x14ac:dyDescent="0.25">
      <c r="A80" s="5">
        <v>26</v>
      </c>
      <c r="B80" s="6">
        <v>8</v>
      </c>
      <c r="C80" s="6">
        <v>8</v>
      </c>
      <c r="D80" s="6">
        <v>16</v>
      </c>
    </row>
    <row r="81" spans="1:4" x14ac:dyDescent="0.25">
      <c r="A81" s="5">
        <v>27</v>
      </c>
      <c r="B81" s="6">
        <v>15</v>
      </c>
      <c r="C81" s="6">
        <v>8</v>
      </c>
      <c r="D81" s="6">
        <v>23</v>
      </c>
    </row>
    <row r="82" spans="1:4" x14ac:dyDescent="0.25">
      <c r="A82" s="5">
        <v>28</v>
      </c>
      <c r="B82" s="6">
        <v>12</v>
      </c>
      <c r="C82" s="6">
        <v>10</v>
      </c>
      <c r="D82" s="6">
        <v>22</v>
      </c>
    </row>
    <row r="83" spans="1:4" x14ac:dyDescent="0.25">
      <c r="A83" s="5">
        <v>29</v>
      </c>
      <c r="B83" s="6">
        <v>11</v>
      </c>
      <c r="C83" s="6">
        <v>5</v>
      </c>
      <c r="D83" s="6">
        <v>16</v>
      </c>
    </row>
    <row r="84" spans="1:4" x14ac:dyDescent="0.25">
      <c r="A84" s="5">
        <v>30</v>
      </c>
      <c r="B84" s="6">
        <v>23</v>
      </c>
      <c r="C84" s="6">
        <v>4</v>
      </c>
      <c r="D84" s="6">
        <v>27</v>
      </c>
    </row>
    <row r="85" spans="1:4" x14ac:dyDescent="0.25">
      <c r="A85" s="5">
        <v>31</v>
      </c>
      <c r="B85" s="6">
        <v>17</v>
      </c>
      <c r="C85" s="6">
        <v>8</v>
      </c>
      <c r="D85" s="6">
        <v>25</v>
      </c>
    </row>
    <row r="86" spans="1:4" x14ac:dyDescent="0.25">
      <c r="A86" s="5">
        <v>32</v>
      </c>
      <c r="B86" s="6">
        <v>19</v>
      </c>
      <c r="C86" s="6">
        <v>14</v>
      </c>
      <c r="D86" s="6">
        <v>33</v>
      </c>
    </row>
    <row r="87" spans="1:4" x14ac:dyDescent="0.25">
      <c r="A87" s="5">
        <v>33</v>
      </c>
      <c r="B87" s="6">
        <v>8</v>
      </c>
      <c r="C87" s="6">
        <v>13</v>
      </c>
      <c r="D87" s="6">
        <v>21</v>
      </c>
    </row>
    <row r="88" spans="1:4" x14ac:dyDescent="0.25">
      <c r="A88" s="5">
        <v>34</v>
      </c>
      <c r="B88" s="6">
        <v>12</v>
      </c>
      <c r="C88" s="6">
        <v>19</v>
      </c>
      <c r="D88" s="6">
        <v>31</v>
      </c>
    </row>
    <row r="89" spans="1:4" x14ac:dyDescent="0.25">
      <c r="A89" s="5">
        <v>35</v>
      </c>
      <c r="B89" s="6">
        <v>14</v>
      </c>
      <c r="C89" s="6">
        <v>22</v>
      </c>
      <c r="D89" s="6">
        <v>36</v>
      </c>
    </row>
    <row r="90" spans="1:4" x14ac:dyDescent="0.25">
      <c r="A90" s="5">
        <v>36</v>
      </c>
      <c r="B90" s="6">
        <v>7</v>
      </c>
      <c r="C90" s="6">
        <v>30</v>
      </c>
      <c r="D90" s="6">
        <v>37</v>
      </c>
    </row>
    <row r="91" spans="1:4" x14ac:dyDescent="0.25">
      <c r="A91" s="5">
        <v>37</v>
      </c>
      <c r="B91" s="6">
        <v>4</v>
      </c>
      <c r="C91" s="6">
        <v>28</v>
      </c>
      <c r="D91" s="6">
        <v>32</v>
      </c>
    </row>
    <row r="92" spans="1:4" x14ac:dyDescent="0.25">
      <c r="A92" s="5">
        <v>38</v>
      </c>
      <c r="B92" s="6">
        <v>8</v>
      </c>
      <c r="C92" s="6">
        <v>29</v>
      </c>
      <c r="D92" s="6">
        <v>37</v>
      </c>
    </row>
    <row r="93" spans="1:4" x14ac:dyDescent="0.25">
      <c r="A93" s="5">
        <v>39</v>
      </c>
      <c r="B93" s="6">
        <v>10</v>
      </c>
      <c r="C93" s="6">
        <v>12</v>
      </c>
      <c r="D93" s="6">
        <v>22</v>
      </c>
    </row>
    <row r="94" spans="1:4" x14ac:dyDescent="0.25">
      <c r="A94" s="5">
        <v>40</v>
      </c>
      <c r="B94" s="6">
        <v>24</v>
      </c>
      <c r="C94" s="6">
        <v>18</v>
      </c>
      <c r="D94" s="6">
        <v>42</v>
      </c>
    </row>
    <row r="95" spans="1:4" x14ac:dyDescent="0.25">
      <c r="A95" s="5">
        <v>41</v>
      </c>
      <c r="B95" s="6">
        <v>13</v>
      </c>
      <c r="C95" s="6">
        <v>15</v>
      </c>
      <c r="D95" s="6">
        <v>28</v>
      </c>
    </row>
    <row r="96" spans="1:4" x14ac:dyDescent="0.25">
      <c r="A96" s="5">
        <v>42</v>
      </c>
      <c r="B96" s="6">
        <v>22</v>
      </c>
      <c r="C96" s="6">
        <v>12</v>
      </c>
      <c r="D96" s="6">
        <v>34</v>
      </c>
    </row>
    <row r="97" spans="1:4" x14ac:dyDescent="0.25">
      <c r="A97" s="5">
        <v>43</v>
      </c>
      <c r="B97" s="6">
        <v>17</v>
      </c>
      <c r="C97" s="6">
        <v>19</v>
      </c>
      <c r="D97" s="6">
        <v>36</v>
      </c>
    </row>
    <row r="98" spans="1:4" x14ac:dyDescent="0.25">
      <c r="A98" s="5">
        <v>44</v>
      </c>
      <c r="B98" s="6">
        <v>15</v>
      </c>
      <c r="C98" s="6">
        <v>12</v>
      </c>
      <c r="D98" s="6">
        <v>27</v>
      </c>
    </row>
    <row r="99" spans="1:4" x14ac:dyDescent="0.25">
      <c r="A99" s="5">
        <v>45</v>
      </c>
      <c r="B99" s="6">
        <v>18</v>
      </c>
      <c r="C99" s="6">
        <v>13</v>
      </c>
      <c r="D99" s="6">
        <v>31</v>
      </c>
    </row>
    <row r="100" spans="1:4" x14ac:dyDescent="0.25">
      <c r="A100" s="5">
        <v>46</v>
      </c>
      <c r="B100" s="6">
        <v>12</v>
      </c>
      <c r="C100" s="6">
        <v>15</v>
      </c>
      <c r="D100" s="6">
        <v>27</v>
      </c>
    </row>
    <row r="101" spans="1:4" x14ac:dyDescent="0.25">
      <c r="A101" s="5">
        <v>47</v>
      </c>
      <c r="B101" s="6">
        <v>19</v>
      </c>
      <c r="C101" s="6">
        <v>20</v>
      </c>
      <c r="D101" s="6">
        <v>39</v>
      </c>
    </row>
    <row r="102" spans="1:4" x14ac:dyDescent="0.25">
      <c r="A102" s="5">
        <v>48</v>
      </c>
      <c r="B102" s="6">
        <v>16</v>
      </c>
      <c r="C102" s="6">
        <v>13</v>
      </c>
      <c r="D102" s="6">
        <v>29</v>
      </c>
    </row>
    <row r="103" spans="1:4" x14ac:dyDescent="0.25">
      <c r="A103" s="5">
        <v>49</v>
      </c>
      <c r="B103" s="6">
        <v>15</v>
      </c>
      <c r="C103" s="6">
        <v>8</v>
      </c>
      <c r="D103" s="6">
        <v>23</v>
      </c>
    </row>
    <row r="104" spans="1:4" x14ac:dyDescent="0.25">
      <c r="A104" s="5">
        <v>50</v>
      </c>
      <c r="B104" s="6">
        <v>12</v>
      </c>
      <c r="C104" s="6">
        <v>12</v>
      </c>
      <c r="D104" s="6">
        <v>24</v>
      </c>
    </row>
    <row r="105" spans="1:4" x14ac:dyDescent="0.25">
      <c r="A105" s="5">
        <v>51</v>
      </c>
      <c r="B105" s="6">
        <v>10</v>
      </c>
      <c r="C105" s="6">
        <v>12</v>
      </c>
      <c r="D105" s="6">
        <v>22</v>
      </c>
    </row>
    <row r="106" spans="1:4" x14ac:dyDescent="0.25">
      <c r="A106" s="5">
        <v>52</v>
      </c>
      <c r="B106" s="6">
        <v>10</v>
      </c>
      <c r="C106" s="6">
        <v>15</v>
      </c>
      <c r="D106" s="6">
        <v>25</v>
      </c>
    </row>
    <row r="107" spans="1:4" x14ac:dyDescent="0.25">
      <c r="A107" s="5">
        <v>53</v>
      </c>
      <c r="B107" s="6">
        <v>11</v>
      </c>
      <c r="C107" s="6">
        <v>13</v>
      </c>
      <c r="D107" s="6">
        <v>24</v>
      </c>
    </row>
    <row r="108" spans="1:4" x14ac:dyDescent="0.25">
      <c r="A108" s="5">
        <v>54</v>
      </c>
      <c r="B108" s="6">
        <v>5</v>
      </c>
      <c r="C108" s="6">
        <v>11</v>
      </c>
      <c r="D108" s="6">
        <v>16</v>
      </c>
    </row>
    <row r="109" spans="1:4" x14ac:dyDescent="0.25">
      <c r="A109" s="5">
        <v>55</v>
      </c>
      <c r="B109" s="6">
        <v>13</v>
      </c>
      <c r="C109" s="6">
        <v>5</v>
      </c>
      <c r="D109" s="6">
        <v>18</v>
      </c>
    </row>
    <row r="110" spans="1:4" x14ac:dyDescent="0.25">
      <c r="A110" s="5">
        <v>56</v>
      </c>
      <c r="B110" s="6">
        <v>13</v>
      </c>
      <c r="C110" s="6">
        <v>3</v>
      </c>
      <c r="D110" s="6">
        <v>16</v>
      </c>
    </row>
    <row r="111" spans="1:4" x14ac:dyDescent="0.25">
      <c r="A111" s="5">
        <v>57</v>
      </c>
      <c r="B111" s="6">
        <v>4</v>
      </c>
      <c r="C111" s="6">
        <v>4</v>
      </c>
      <c r="D111" s="6">
        <v>8</v>
      </c>
    </row>
    <row r="112" spans="1:4" x14ac:dyDescent="0.25">
      <c r="A112" s="5">
        <v>58</v>
      </c>
      <c r="B112" s="6">
        <v>8</v>
      </c>
      <c r="C112" s="6">
        <v>4</v>
      </c>
      <c r="D112" s="6">
        <v>12</v>
      </c>
    </row>
    <row r="113" spans="1:4" x14ac:dyDescent="0.25">
      <c r="A113" s="5">
        <v>59</v>
      </c>
      <c r="B113" s="6">
        <v>14</v>
      </c>
      <c r="C113" s="6">
        <v>6</v>
      </c>
      <c r="D113" s="6">
        <v>20</v>
      </c>
    </row>
    <row r="114" spans="1:4" x14ac:dyDescent="0.25">
      <c r="A114" s="5">
        <v>60</v>
      </c>
      <c r="B114" s="6">
        <v>8</v>
      </c>
      <c r="C114" s="6">
        <v>7</v>
      </c>
      <c r="D114" s="6">
        <v>15</v>
      </c>
    </row>
    <row r="115" spans="1:4" x14ac:dyDescent="0.25">
      <c r="A115" s="5">
        <v>61</v>
      </c>
      <c r="B115" s="6">
        <v>5</v>
      </c>
      <c r="C115" s="6">
        <v>4</v>
      </c>
      <c r="D115" s="6">
        <v>9</v>
      </c>
    </row>
    <row r="116" spans="1:4" x14ac:dyDescent="0.25">
      <c r="A116" s="5">
        <v>62</v>
      </c>
      <c r="B116" s="6">
        <v>9</v>
      </c>
      <c r="C116" s="6">
        <v>4</v>
      </c>
      <c r="D116" s="6">
        <v>13</v>
      </c>
    </row>
    <row r="117" spans="1:4" x14ac:dyDescent="0.25">
      <c r="A117" s="5">
        <v>63</v>
      </c>
      <c r="B117" s="6">
        <v>7</v>
      </c>
      <c r="C117" s="6">
        <v>2</v>
      </c>
      <c r="D117" s="6">
        <v>9</v>
      </c>
    </row>
    <row r="118" spans="1:4" x14ac:dyDescent="0.25">
      <c r="A118" s="5">
        <v>64</v>
      </c>
      <c r="B118" s="6">
        <v>7</v>
      </c>
      <c r="C118" s="6">
        <v>3</v>
      </c>
      <c r="D118" s="6">
        <v>10</v>
      </c>
    </row>
    <row r="119" spans="1:4" x14ac:dyDescent="0.25">
      <c r="A119" s="5">
        <v>65</v>
      </c>
      <c r="B119" s="6">
        <v>6</v>
      </c>
      <c r="C119" s="6">
        <v>3</v>
      </c>
      <c r="D119" s="6">
        <v>9</v>
      </c>
    </row>
    <row r="120" spans="1:4" x14ac:dyDescent="0.25">
      <c r="A120" s="5">
        <v>66</v>
      </c>
      <c r="B120" s="6">
        <v>8</v>
      </c>
      <c r="C120" s="6">
        <v>6</v>
      </c>
      <c r="D120" s="6">
        <v>14</v>
      </c>
    </row>
    <row r="121" spans="1:4" x14ac:dyDescent="0.25">
      <c r="A121" s="5">
        <v>67</v>
      </c>
      <c r="B121" s="6">
        <v>8</v>
      </c>
      <c r="C121" s="6">
        <v>2</v>
      </c>
      <c r="D121" s="6">
        <v>10</v>
      </c>
    </row>
    <row r="122" spans="1:4" x14ac:dyDescent="0.25">
      <c r="A122" s="5">
        <v>68</v>
      </c>
      <c r="B122" s="6">
        <v>3</v>
      </c>
      <c r="C122" s="6"/>
      <c r="D122" s="6">
        <v>3</v>
      </c>
    </row>
    <row r="123" spans="1:4" x14ac:dyDescent="0.25">
      <c r="A123" s="5">
        <v>69</v>
      </c>
      <c r="B123" s="6">
        <v>8</v>
      </c>
      <c r="C123" s="6"/>
      <c r="D123" s="6">
        <v>8</v>
      </c>
    </row>
    <row r="124" spans="1:4" x14ac:dyDescent="0.25">
      <c r="A124" s="5">
        <v>70</v>
      </c>
      <c r="B124" s="6">
        <v>3</v>
      </c>
      <c r="C124" s="6">
        <v>1</v>
      </c>
      <c r="D124" s="6">
        <v>4</v>
      </c>
    </row>
    <row r="125" spans="1:4" x14ac:dyDescent="0.25">
      <c r="A125" s="5">
        <v>71</v>
      </c>
      <c r="B125" s="6">
        <v>1</v>
      </c>
      <c r="C125" s="6"/>
      <c r="D125" s="6">
        <v>1</v>
      </c>
    </row>
    <row r="126" spans="1:4" x14ac:dyDescent="0.25">
      <c r="A126" s="5">
        <v>72</v>
      </c>
      <c r="B126" s="6"/>
      <c r="C126" s="6">
        <v>1</v>
      </c>
      <c r="D126" s="6">
        <v>1</v>
      </c>
    </row>
    <row r="127" spans="1:4" x14ac:dyDescent="0.25">
      <c r="A127" s="5">
        <v>73</v>
      </c>
      <c r="B127" s="6">
        <v>2</v>
      </c>
      <c r="C127" s="6">
        <v>2</v>
      </c>
      <c r="D127" s="6">
        <v>4</v>
      </c>
    </row>
    <row r="128" spans="1:4" x14ac:dyDescent="0.25">
      <c r="A128" s="5">
        <v>74</v>
      </c>
      <c r="B128" s="6"/>
      <c r="C128" s="6">
        <v>1</v>
      </c>
      <c r="D128" s="6">
        <v>1</v>
      </c>
    </row>
    <row r="129" spans="1:4" x14ac:dyDescent="0.25">
      <c r="A129" s="5">
        <v>78</v>
      </c>
      <c r="B129" s="6">
        <v>1</v>
      </c>
      <c r="C129" s="6">
        <v>1</v>
      </c>
      <c r="D129" s="6">
        <v>2</v>
      </c>
    </row>
    <row r="130" spans="1:4" x14ac:dyDescent="0.25">
      <c r="A130" s="5">
        <v>80</v>
      </c>
      <c r="B130" s="6">
        <v>1</v>
      </c>
      <c r="C130" s="6"/>
      <c r="D130" s="6">
        <v>1</v>
      </c>
    </row>
    <row r="131" spans="1:4" x14ac:dyDescent="0.25">
      <c r="A131" s="5">
        <v>89</v>
      </c>
      <c r="B131" s="6">
        <v>1</v>
      </c>
      <c r="C131" s="6"/>
      <c r="D131" s="6">
        <v>1</v>
      </c>
    </row>
    <row r="132" spans="1:4" x14ac:dyDescent="0.25">
      <c r="A132" s="5" t="s">
        <v>44</v>
      </c>
      <c r="B132" s="6">
        <v>519</v>
      </c>
      <c r="C132" s="6">
        <v>481</v>
      </c>
      <c r="D132"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99D20-45E6-4662-B7EE-464208BBAAB6}">
  <dimension ref="A1:N8"/>
  <sheetViews>
    <sheetView showGridLines="0" tabSelected="1" topLeftCell="A7" zoomScale="86" workbookViewId="0">
      <selection activeCell="U8" sqref="U8"/>
    </sheetView>
  </sheetViews>
  <sheetFormatPr defaultRowHeight="15" x14ac:dyDescent="0.25"/>
  <cols>
    <col min="14" max="14" width="9.140625" customWidth="1"/>
  </cols>
  <sheetData>
    <row r="1" spans="1:14" x14ac:dyDescent="0.25">
      <c r="A1" s="12"/>
      <c r="B1" s="12"/>
      <c r="C1" s="12"/>
      <c r="D1" s="12"/>
      <c r="E1" s="12"/>
      <c r="F1" s="12"/>
      <c r="G1" s="12"/>
      <c r="H1" s="12"/>
      <c r="I1" s="12"/>
      <c r="J1" s="12"/>
      <c r="K1" s="12"/>
      <c r="L1" s="12"/>
      <c r="M1" s="12"/>
      <c r="N1" s="12"/>
    </row>
    <row r="2" spans="1:14" x14ac:dyDescent="0.25">
      <c r="A2" s="12"/>
      <c r="B2" s="12"/>
      <c r="C2" s="12"/>
      <c r="D2" s="12"/>
      <c r="E2" s="12"/>
      <c r="F2" s="12"/>
      <c r="G2" s="12"/>
      <c r="H2" s="12"/>
      <c r="I2" s="12"/>
      <c r="J2" s="12"/>
      <c r="K2" s="12"/>
      <c r="L2" s="12"/>
      <c r="M2" s="12"/>
      <c r="N2" s="12"/>
    </row>
    <row r="3" spans="1:14" ht="15" customHeight="1" x14ac:dyDescent="0.25">
      <c r="A3" s="10" t="s">
        <v>52</v>
      </c>
      <c r="B3" s="11"/>
      <c r="C3" s="11"/>
      <c r="D3" s="11"/>
      <c r="E3" s="11"/>
      <c r="F3" s="11"/>
      <c r="G3" s="11"/>
      <c r="H3" s="11"/>
      <c r="I3" s="11"/>
      <c r="J3" s="11"/>
      <c r="K3" s="11"/>
      <c r="L3" s="11"/>
      <c r="M3" s="11"/>
      <c r="N3" s="11"/>
    </row>
    <row r="4" spans="1:14" ht="15" customHeight="1" x14ac:dyDescent="0.25">
      <c r="A4" s="11"/>
      <c r="B4" s="11"/>
      <c r="C4" s="11"/>
      <c r="D4" s="11"/>
      <c r="E4" s="11"/>
      <c r="F4" s="11"/>
      <c r="G4" s="11"/>
      <c r="H4" s="11"/>
      <c r="I4" s="11"/>
      <c r="J4" s="11"/>
      <c r="K4" s="11"/>
      <c r="L4" s="11"/>
      <c r="M4" s="11"/>
      <c r="N4" s="11"/>
    </row>
    <row r="5" spans="1:14" ht="15" customHeight="1" x14ac:dyDescent="0.25">
      <c r="A5" s="11"/>
      <c r="B5" s="11"/>
      <c r="C5" s="11"/>
      <c r="D5" s="11"/>
      <c r="E5" s="11"/>
      <c r="F5" s="11"/>
      <c r="G5" s="11"/>
      <c r="H5" s="11"/>
      <c r="I5" s="11"/>
      <c r="J5" s="11"/>
      <c r="K5" s="11"/>
      <c r="L5" s="11"/>
      <c r="M5" s="11"/>
      <c r="N5" s="11"/>
    </row>
    <row r="6" spans="1:14" ht="15" customHeight="1" x14ac:dyDescent="0.25">
      <c r="A6" s="11"/>
      <c r="B6" s="11"/>
      <c r="C6" s="11"/>
      <c r="D6" s="11"/>
      <c r="E6" s="11"/>
      <c r="F6" s="11"/>
      <c r="G6" s="11"/>
      <c r="H6" s="11"/>
      <c r="I6" s="11"/>
      <c r="J6" s="11"/>
      <c r="K6" s="11"/>
      <c r="L6" s="11"/>
      <c r="M6" s="11"/>
      <c r="N6" s="11"/>
    </row>
    <row r="7" spans="1:14" ht="33.75" customHeight="1" x14ac:dyDescent="0.25">
      <c r="A7" s="11"/>
      <c r="B7" s="11"/>
      <c r="C7" s="11"/>
      <c r="D7" s="11"/>
      <c r="E7" s="11"/>
      <c r="F7" s="11"/>
      <c r="G7" s="11"/>
      <c r="H7" s="11"/>
      <c r="I7" s="11"/>
      <c r="J7" s="11"/>
      <c r="K7" s="11"/>
      <c r="L7" s="11"/>
      <c r="M7" s="11"/>
      <c r="N7" s="11"/>
    </row>
    <row r="8" spans="1:14" ht="15" customHeight="1" x14ac:dyDescent="0.25">
      <c r="A8" s="11"/>
      <c r="B8" s="11"/>
      <c r="C8" s="11"/>
      <c r="D8" s="11"/>
      <c r="E8" s="11"/>
      <c r="F8" s="11"/>
      <c r="G8" s="11"/>
      <c r="H8" s="11"/>
      <c r="I8" s="11"/>
      <c r="J8" s="11"/>
      <c r="K8" s="11"/>
      <c r="L8" s="11"/>
      <c r="M8" s="11"/>
      <c r="N8" s="11"/>
    </row>
  </sheetData>
  <mergeCells count="1">
    <mergeCell ref="A3:N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 pranay kumar reddy</dc:creator>
  <cp:lastModifiedBy>Yammanuru, Pranay Kumar Reddy</cp:lastModifiedBy>
  <dcterms:created xsi:type="dcterms:W3CDTF">2022-03-18T02:50:57Z</dcterms:created>
  <dcterms:modified xsi:type="dcterms:W3CDTF">2024-08-07T23:49:33Z</dcterms:modified>
</cp:coreProperties>
</file>